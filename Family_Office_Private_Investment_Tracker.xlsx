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Instructions" sheetId="1" state="visible" r:id="rId1"/>
    <sheet name="Assumptions &amp; Methodology" sheetId="2" state="visible" r:id="rId2"/>
    <sheet name="Entity Summary Dashboard" sheetId="3" state="visible" r:id="rId3"/>
    <sheet name="Combined Portfolio Dashboard" sheetId="4" state="visible" r:id="rId4"/>
    <sheet name="Investment Master" sheetId="5" state="visible" r:id="rId5"/>
    <sheet name="Cash Flow Ledger" sheetId="6" state="visible" r:id="rId6"/>
    <sheet name="Official Valuation Ledger" sheetId="7" state="visible" r:id="rId7"/>
    <sheet name="Internal Valuation Model" sheetId="8" state="visible" r:id="rId8"/>
    <sheet name="Exit Scenario Valuation" sheetId="9" state="visible" r:id="rId9"/>
    <sheet name="Entity-Level Performance" sheetId="10" state="visible" r:id="rId10"/>
    <sheet name="Investment-Level Performance" sheetId="11" state="visible" r:id="rId11"/>
    <sheet name="Cash Flow Timeline" sheetId="12" state="visible" r:id="rId12"/>
    <sheet name="Lookups &amp; Data Validation" sheetId="13" state="visible" r:id="rId13"/>
    <sheet name="Audit Checks" sheetId="14" state="visible" r:id="rId14"/>
  </sheets>
  <definedNames>
    <definedName name="EntityList">'Lookups &amp; Data Validation'!$A$2:$A$5</definedName>
    <definedName name="TransactionTypeList">'Lookups &amp; Data Validation'!$B$2:$B$9</definedName>
    <definedName name="StatusList">'Lookups &amp; Data Validation'!$C$2:$C$5</definedName>
    <definedName name="ValuationMethodList">'Lookups &amp; Data Validation'!$D$2:$D$8</definedName>
    <definedName name="MarkTypeList">'Lookups &amp; Data Validation'!$E$2:$E$7</definedName>
    <definedName name="SectorList">'Lookups &amp; Data Validation'!$F$2:$F$9</definedName>
    <definedName name="AssetTypeList">'Lookups &amp; Data Validation'!$G$2:$G$6</definedName>
    <definedName name="YesNoList">'Lookups &amp; Data Validation'!$H$2:$H$3</definedName>
    <definedName name="LeadCoList">'Lookups &amp; Data Validation'!$I$2:$I$3</definedName>
    <definedName name="_xlnm._FilterDatabase" localSheetId="4" hidden="1">'Investment Master'!$A$3:$AF$11</definedName>
    <definedName name="_xlnm._FilterDatabase" localSheetId="5" hidden="1">'Cash Flow Ledger'!$A$3:$M$59</definedName>
    <definedName name="_xlnm._FilterDatabase" localSheetId="6" hidden="1">'Official Valuation Ledger'!$A$3:$J$12</definedName>
    <definedName name="_xlnm._FilterDatabase" localSheetId="7" hidden="1">'Internal Valuation Model'!$A$3:$T$11</definedName>
    <definedName name="_xlnm._FilterDatabase" localSheetId="8" hidden="1">'Exit Scenario Valuation'!$A$3:$R$11</definedName>
    <definedName name="_xlnm._FilterDatabase" localSheetId="9" hidden="1">'Entity-Level Performance'!$A$11:$E$47</definedName>
    <definedName name="_xlnm._FilterDatabase" localSheetId="10" hidden="1">'Investment-Level Performance'!$A$3:$T$11</definedName>
    <definedName name="_xlnm._FilterDatabase" localSheetId="11" hidden="1">'Cash Flow Timeline'!$A$3:$P$108</definedName>
    <definedName name="_xlnm._FilterDatabase" localSheetId="13" hidden="1">'Audit Checks'!$A$3:$C$15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F2937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F4F6F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9AA6B2"/>
      </left>
      <right style="thin">
        <color rgb="009AA6B2"/>
      </right>
      <top style="thin">
        <color rgb="009AA6B2"/>
      </top>
      <bottom style="thin">
        <color rgb="009AA6B2"/>
      </bottom>
    </border>
    <border>
      <left/>
      <right/>
      <top style="thin">
        <color rgb="009AA6B2"/>
      </top>
      <bottom/>
      <diagonal/>
    </border>
    <border>
      <left/>
      <right style="thin">
        <color rgb="009AA6B2"/>
      </right>
      <top style="thin">
        <color rgb="009AA6B2"/>
      </top>
      <bottom/>
      <diagonal/>
    </border>
    <border>
      <left/>
      <right/>
      <top style="thin">
        <color rgb="009AA6B2"/>
      </top>
      <bottom style="thin">
        <color rgb="009AA6B2"/>
      </bottom>
      <diagonal/>
    </border>
    <border>
      <left/>
      <right style="thin">
        <color rgb="009AA6B2"/>
      </right>
      <top style="thin">
        <color rgb="009AA6B2"/>
      </top>
      <bottom style="thin">
        <color rgb="009AA6B2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2" fillId="3" borderId="1" pivotButton="0" quotePrefix="0" xfId="0"/>
    <xf numFmtId="0" fontId="0" fillId="0" borderId="0" applyAlignment="1" pivotButton="0" quotePrefix="0" xfId="0">
      <alignment wrapText="1"/>
    </xf>
    <xf numFmtId="0" fontId="3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wrapText="1"/>
    </xf>
    <xf numFmtId="0" fontId="4" fillId="2" borderId="1" pivotButton="0" quotePrefix="0" xfId="0"/>
    <xf numFmtId="0" fontId="1" fillId="2" borderId="1" pivotButton="0" quotePrefix="0" xfId="0"/>
    <xf numFmtId="165" fontId="3" fillId="5" borderId="1" pivotButton="0" quotePrefix="0" xfId="0"/>
    <xf numFmtId="0" fontId="3" fillId="5" borderId="1" pivotButton="0" quotePrefix="0" xfId="0"/>
    <xf numFmtId="165" fontId="0" fillId="0" borderId="0" pivotButton="0" quotePrefix="0" xfId="0"/>
    <xf numFmtId="166" fontId="3" fillId="5" borderId="1" pivotButton="0" quotePrefix="0" xfId="0"/>
    <xf numFmtId="166" fontId="0" fillId="0" borderId="0" pivotButton="0" quotePrefix="0" xfId="0"/>
    <xf numFmtId="0" fontId="5" fillId="2" borderId="1" applyAlignment="1" pivotButton="0" quotePrefix="0" xfId="0">
      <alignment horizontal="left"/>
    </xf>
    <xf numFmtId="0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166" fontId="0" fillId="6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4" fillId="4" borderId="1" pivotButton="0" quotePrefix="0" xfId="0"/>
    <xf numFmtId="0" fontId="3" fillId="4" borderId="1" pivotButton="0" quotePrefix="0" xfId="0"/>
    <xf numFmtId="165" fontId="3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Official vs Internal vs Exit NAV by Entity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'Entity Summary Dashboard'!G4</f>
            </strRef>
          </tx>
          <spPr>
            <a:ln>
              <a:prstDash val="solid"/>
            </a:ln>
          </spPr>
          <cat>
            <numRef>
              <f>'Entity Summary Dashboard'!$D$5:$D$8</f>
            </numRef>
          </cat>
          <val>
            <numRef>
              <f>'Entity Summary Dashboard'!$G$5:$G$8</f>
            </numRef>
          </val>
        </ser>
        <ser>
          <idx val="1"/>
          <order val="1"/>
          <tx>
            <strRef>
              <f>'Entity Summary Dashboard'!H4</f>
            </strRef>
          </tx>
          <spPr>
            <a:ln>
              <a:prstDash val="solid"/>
            </a:ln>
          </spPr>
          <cat>
            <numRef>
              <f>'Entity Summary Dashboard'!$D$5:$D$8</f>
            </numRef>
          </cat>
          <val>
            <numRef>
              <f>'Entity Summary Dashboard'!$H$5:$H$8</f>
            </numRef>
          </val>
        </ser>
        <ser>
          <idx val="2"/>
          <order val="2"/>
          <tx>
            <strRef>
              <f>'Entity Summary Dashboard'!I4</f>
            </strRef>
          </tx>
          <spPr>
            <a:ln>
              <a:prstDash val="solid"/>
            </a:ln>
          </spPr>
          <cat>
            <numRef>
              <f>'Entity Summary Dashboard'!$D$5:$D$8</f>
            </numRef>
          </cat>
          <val>
            <numRef>
              <f>'Entity Summary Dashboard'!$I$5:$I$8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Investments by Official / Internal / Exit Value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'Combined Portfolio Dashboard'!G4</f>
            </strRef>
          </tx>
          <spPr>
            <a:ln>
              <a:prstDash val="solid"/>
            </a:ln>
          </spPr>
          <cat>
            <numRef>
              <f>'Combined Portfolio Dashboard'!$F$5:$F$12</f>
            </numRef>
          </cat>
          <val>
            <numRef>
              <f>'Combined Portfolio Dashboard'!$G$5:$G$12</f>
            </numRef>
          </val>
        </ser>
        <ser>
          <idx val="1"/>
          <order val="1"/>
          <tx>
            <strRef>
              <f>'Combined Portfolio Dashboard'!H4</f>
            </strRef>
          </tx>
          <spPr>
            <a:ln>
              <a:prstDash val="solid"/>
            </a:ln>
          </spPr>
          <cat>
            <numRef>
              <f>'Combined Portfolio Dashboard'!$F$5:$F$12</f>
            </numRef>
          </cat>
          <val>
            <numRef>
              <f>'Combined Portfolio Dashboard'!$H$5:$H$12</f>
            </numRef>
          </val>
        </ser>
        <ser>
          <idx val="2"/>
          <order val="2"/>
          <tx>
            <strRef>
              <f>'Combined Portfolio Dashboard'!I4</f>
            </strRef>
          </tx>
          <spPr>
            <a:ln>
              <a:prstDash val="solid"/>
            </a:ln>
          </spPr>
          <cat>
            <numRef>
              <f>'Combined Portfolio Dashboard'!$F$5:$F$12</f>
            </numRef>
          </cat>
          <val>
            <numRef>
              <f>'Combined Portfolio Dashboard'!$I$5:$I$12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Capital Called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 Timeline'!N3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Timeline'!$A$4:$A$39</f>
            </numRef>
          </cat>
          <val>
            <numRef>
              <f>'Cash Flow Timeline'!$N$4:$N$39</f>
            </numRef>
          </val>
        </ser>
        <ser>
          <idx val="1"/>
          <order val="1"/>
          <tx>
            <strRef>
              <f>'Cash Flow Timeline'!O3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Timeline'!$A$4:$A$39</f>
            </numRef>
          </cat>
          <val>
            <numRef>
              <f>'Cash Flow Timeline'!$O$4:$O$39</f>
            </numRef>
          </val>
        </ser>
        <ser>
          <idx val="2"/>
          <order val="2"/>
          <tx>
            <strRef>
              <f>'Cash Flow Timeline'!P3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Timeline'!$A$4:$A$39</f>
            </numRef>
          </cat>
          <val>
            <numRef>
              <f>'Cash Flow Timeline'!$P$4:$P$39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Cash Flow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14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15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Investments" displayName="tblInvestments" ref="A3:AF11" headerRowCount="1">
  <autoFilter ref="A3:AF11"/>
  <tableColumns count="32">
    <tableColumn id="1" name="Investment ID"/>
    <tableColumn id="2" name="Investment Name"/>
    <tableColumn id="3" name="Sector / Strategy"/>
    <tableColumn id="4" name="Asset Type"/>
    <tableColumn id="5" name="Status"/>
    <tableColumn id="6" name="Initial Investment Date"/>
    <tableColumn id="7" name="Sponsor / Manager"/>
    <tableColumn id="8" name="Geography"/>
    <tableColumn id="9" name="Official Valuation Method"/>
    <tableColumn id="10" name="Internal Valuation Method"/>
    <tableColumn id="11" name="Exit Valuation Method"/>
    <tableColumn id="12" name="Board Seat?"/>
    <tableColumn id="13" name="Lead / Co-invest?"/>
    <tableColumn id="14" name="Commitment Amount"/>
    <tableColumn id="15" name="Beaman Ventures %"/>
    <tableColumn id="16" name="Lee Beaman %"/>
    <tableColumn id="17" name="Kat Trust %"/>
    <tableColumn id="18" name="Nat Trust %"/>
    <tableColumn id="19" name="Ownership % total"/>
    <tableColumn id="20" name="Entity ownership notes"/>
    <tableColumn id="21" name="Notes"/>
    <tableColumn id="22" name="Total invested capital"/>
    <tableColumn id="23" name="Total distributions"/>
    <tableColumn id="24" name="Official current value"/>
    <tableColumn id="25" name="Internal current value"/>
    <tableColumn id="26" name="Exit scenario value"/>
    <tableColumn id="27" name="Official MOIC"/>
    <tableColumn id="28" name="Internal MOIC"/>
    <tableColumn id="29" name="Exit MOIC"/>
    <tableColumn id="30" name="Official XIRR"/>
    <tableColumn id="31" name="Internal XIRR"/>
    <tableColumn id="32" name="Exit XIR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shFlows" displayName="tblCashFlows" ref="A3:M59" headerRowCount="1">
  <autoFilter ref="A3:M59"/>
  <tableColumns count="13">
    <tableColumn id="1" name="Transaction ID"/>
    <tableColumn id="2" name="Investment ID"/>
    <tableColumn id="3" name="Investment Name"/>
    <tableColumn id="4" name="Entity"/>
    <tableColumn id="5" name="Transaction Date"/>
    <tableColumn id="6" name="Transaction Type"/>
    <tableColumn id="7" name="Description"/>
    <tableColumn id="8" name="Contribution Amount"/>
    <tableColumn id="9" name="Distribution Amount"/>
    <tableColumn id="10" name="Net Cash Flow"/>
    <tableColumn id="11" name="Realized / Unrealized flag"/>
    <tableColumn id="12" name="Linked valuation date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OfficialMarks" displayName="tblOfficialMarks" ref="A3:J12" headerRowCount="1">
  <autoFilter ref="A3:J12"/>
  <tableColumns count="10">
    <tableColumn id="1" name="Valuation Date"/>
    <tableColumn id="2" name="Investment ID"/>
    <tableColumn id="3" name="Investment Name"/>
    <tableColumn id="4" name="Entity or All-Entity View"/>
    <tableColumn id="5" name="Prior Official Value"/>
    <tableColumn id="6" name="New Official Value"/>
    <tableColumn id="7" name="Change in Value"/>
    <tableColumn id="8" name="Basis for Mark"/>
    <tableColumn id="9" name="Mark Type"/>
    <tableColumn id="10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ternalModel" displayName="tblInternalModel" ref="A3:T11" headerRowCount="1">
  <autoFilter ref="A3:T11"/>
  <tableColumns count="20">
    <tableColumn id="1" name="Investment ID"/>
    <tableColumn id="2" name="Investment Name"/>
    <tableColumn id="3" name="Valuation Date"/>
    <tableColumn id="4" name="Valuation Method"/>
    <tableColumn id="5" name="LTM Revenue"/>
    <tableColumn id="6" name="LTM EBITDA"/>
    <tableColumn id="7" name="EBITDA Multiple"/>
    <tableColumn id="8" name="Revenue Multiple"/>
    <tableColumn id="9" name="Enterprise Value"/>
    <tableColumn id="10" name="Net Debt"/>
    <tableColumn id="11" name="Equity Value"/>
    <tableColumn id="12" name="Our Ownership %"/>
    <tableColumn id="13" name="Our Value"/>
    <tableColumn id="14" name="Discount / premium adjustment"/>
    <tableColumn id="15" name="Manual override value"/>
    <tableColumn id="16" name="Final Internal Value"/>
    <tableColumn id="17" name="Official Value"/>
    <tableColumn id="18" name="Delta $"/>
    <tableColumn id="19" name="Delta %"/>
    <tableColumn id="20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ExitScenarios" displayName="tblExitScenarios" ref="A3:R11" headerRowCount="1">
  <autoFilter ref="A3:R11"/>
  <tableColumns count="18">
    <tableColumn id="1" name="Investment ID"/>
    <tableColumn id="2" name="Investment Name"/>
    <tableColumn id="3" name="Exit Date Assumption"/>
    <tableColumn id="4" name="Exit Metric"/>
    <tableColumn id="5" name="Exit Metric Amount"/>
    <tableColumn id="6" name="Exit Multiple"/>
    <tableColumn id="7" name="Enterprise Value"/>
    <tableColumn id="8" name="Less Debt"/>
    <tableColumn id="9" name="Equity Value"/>
    <tableColumn id="10" name="Our Ownership %"/>
    <tableColumn id="11" name="Gross Exit Value"/>
    <tableColumn id="12" name="Estimated Fees / Taxes / Costs"/>
    <tableColumn id="13" name="Net Exit Value"/>
    <tableColumn id="14" name="Official Value"/>
    <tableColumn id="15" name="Internal Value"/>
    <tableColumn id="16" name="Upside vs Official"/>
    <tableColumn id="17" name="Upside vs Internal"/>
    <tableColumn id="18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EntityPerf" displayName="tblEntityPerf" ref="A3:O7" headerRowCount="1">
  <autoFilter ref="A3:O7"/>
  <tableColumns count="15">
    <tableColumn id="1" name="Entity"/>
    <tableColumn id="2" name="Total invested capital"/>
    <tableColumn id="3" name="Total distributions"/>
    <tableColumn id="4" name="Remaining cost basis"/>
    <tableColumn id="5" name="Official NAV"/>
    <tableColumn id="6" name="Internal NAV"/>
    <tableColumn id="7" name="Exit Scenario NAV"/>
    <tableColumn id="8" name="TVPI"/>
    <tableColumn id="9" name="DPI"/>
    <tableColumn id="10" name="RVPI"/>
    <tableColumn id="11" name="Official XIRR"/>
    <tableColumn id="12" name="Internal XIRR"/>
    <tableColumn id="13" name="Exit Scenario XIRR"/>
    <tableColumn id="14" name="Number of active investments"/>
    <tableColumn id="15" name="Number of realized invest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EntityAnnual" displayName="tblEntityAnnual" ref="A11:E47" headerRowCount="1">
  <autoFilter ref="A11:E47"/>
  <tableColumns count="5">
    <tableColumn id="1" name="Year"/>
    <tableColumn id="2" name="Entity"/>
    <tableColumn id="3" name="Contributions"/>
    <tableColumn id="4" name="Distributions"/>
    <tableColumn id="5" name="Net Cash Flow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InvestmentPerf" displayName="tblInvestmentPerf" ref="A3:T11" headerRowCount="1">
  <autoFilter ref="A3:T11"/>
  <tableColumns count="20">
    <tableColumn id="1" name="Investment ID"/>
    <tableColumn id="2" name="Investment Name"/>
    <tableColumn id="3" name="Status"/>
    <tableColumn id="4" name="Total Invested Capital"/>
    <tableColumn id="5" name="Total Distributions"/>
    <tableColumn id="6" name="Official Value"/>
    <tableColumn id="7" name="Internal Value"/>
    <tableColumn id="8" name="Exit Value"/>
    <tableColumn id="9" name="Official TVPI"/>
    <tableColumn id="10" name="Internal TVPI"/>
    <tableColumn id="11" name="Exit TVPI"/>
    <tableColumn id="12" name="Official XIRR"/>
    <tableColumn id="13" name="Internal XIRR"/>
    <tableColumn id="14" name="Exit XIRR"/>
    <tableColumn id="15" name="Unrealized Gain / Loss"/>
    <tableColumn id="16" name="Realized Gain / Loss"/>
    <tableColumn id="17" name="Total Gain / Loss"/>
    <tableColumn id="18" name="Holding Period"/>
    <tableColumn id="19" name="Which entities own it"/>
    <tableColumn id="20" name="Stale mark?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CashTimeline" displayName="tblCashTimeline" ref="A3:P108" headerRowCount="1">
  <autoFilter ref="A3:P108"/>
  <tableColumns count="16">
    <tableColumn id="1" name="Month"/>
    <tableColumn id="2" name="Beaman Ventures Contributions"/>
    <tableColumn id="3" name="Beaman Ventures Distributions"/>
    <tableColumn id="4" name="Beaman Ventures Net"/>
    <tableColumn id="5" name="Lee Beaman Contributions"/>
    <tableColumn id="6" name="Lee Beaman Distributions"/>
    <tableColumn id="7" name="Lee Beaman Net"/>
    <tableColumn id="8" name="Kat Trust Contributions"/>
    <tableColumn id="9" name="Kat Trust Distributions"/>
    <tableColumn id="10" name="Kat Trust Net"/>
    <tableColumn id="11" name="Nat Trust Contributions"/>
    <tableColumn id="12" name="Nat Trust Distributions"/>
    <tableColumn id="13" name="Nat Trust Net"/>
    <tableColumn id="14" name="Total Contributions"/>
    <tableColumn id="15" name="Total Distributions"/>
    <tableColumn id="16" name="Total Ne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AuditChecks" displayName="tblAuditChecks" ref="A3:C15" headerRowCount="1">
  <autoFilter ref="A3:C15"/>
  <tableColumns count="3">
    <tableColumn id="1" name="Control"/>
    <tableColumn id="2" name="Result"/>
    <tableColumn id="3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8" customWidth="1" min="4" max="4"/>
  </cols>
  <sheetData>
    <row r="1">
      <c r="A1" s="1" t="inlineStr">
        <is>
          <t>Private Investment &amp; Portfolio Valuation Workbook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Purpose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5" t="inlineStr">
        <is>
          <t>• Use the yellow cells in the data tabs for manual updates. Formula and output cells are protected visually and should update automatically when the workbook recalculates.</t>
        </is>
      </c>
    </row>
    <row r="4">
      <c r="A4" s="5" t="inlineStr">
        <is>
          <t>• Track all actual capital calls and distributions in the Capital Call &amp; Distribution Ledger. XIRR calculations are based on those dated cash flows plus the selected ending valuation view.</t>
        </is>
      </c>
    </row>
    <row r="5">
      <c r="A5" s="5" t="inlineStr">
        <is>
          <t>• Maintain conservative marks in the Official Valuation Ledger, internal operating marks in the Internal Valuation Model, and upside case values in Exit Scenario Valuation.</t>
        </is>
      </c>
    </row>
    <row r="6">
      <c r="A6" s="5" t="inlineStr">
        <is>
          <t>• Use the Entity Summary Dashboard for entity-level review and the Combined Portfolio Dashboard for overall portfolio reporting.</t>
        </is>
      </c>
    </row>
    <row r="7">
      <c r="A7" s="5" t="inlineStr">
        <is>
          <t>• Refresh formulas in Excel after opening if calculation mode is manual. Filters, tables, and named ranges are already set up for ongoing use.</t>
        </is>
      </c>
    </row>
    <row r="10">
      <c r="A10" s="6" t="inlineStr">
        <is>
          <t>Entities covered</t>
        </is>
      </c>
      <c r="D10" s="6" t="inlineStr">
        <is>
          <t>Workbook use</t>
        </is>
      </c>
    </row>
    <row r="11">
      <c r="A11" s="7" t="inlineStr">
        <is>
          <t>Beaman Ventures</t>
        </is>
      </c>
      <c r="D11" s="8" t="inlineStr">
        <is>
          <t>1. Update Investment Master for new positions and ownership.</t>
        </is>
      </c>
    </row>
    <row r="12">
      <c r="A12" s="7" t="inlineStr">
        <is>
          <t>Lee Beaman</t>
        </is>
      </c>
      <c r="D12" s="8" t="inlineStr">
        <is>
          <t>2. Add actual capital calls and distributions in Cash Flow Ledger.</t>
        </is>
      </c>
    </row>
    <row r="13">
      <c r="A13" s="7" t="inlineStr">
        <is>
          <t>Kat Trust</t>
        </is>
      </c>
      <c r="D13" s="8" t="inlineStr">
        <is>
          <t>3. Maintain official, internal, and exit marks on their respective tabs.</t>
        </is>
      </c>
    </row>
    <row r="14">
      <c r="A14" s="7" t="inlineStr">
        <is>
          <t>Nat Trust</t>
        </is>
      </c>
      <c r="D14" s="8" t="inlineStr">
        <is>
          <t>4. Review dashboards and audit checks before distribution.</t>
        </is>
      </c>
    </row>
    <row r="16">
      <c r="A16" s="9" t="inlineStr">
        <is>
          <t>Workbook architecture</t>
        </is>
      </c>
      <c r="B16" s="2" t="n"/>
      <c r="C16" s="2" t="n"/>
      <c r="D16" s="2" t="n"/>
      <c r="E16" s="2" t="n"/>
      <c r="F16" s="2" t="n"/>
      <c r="G16" s="2" t="n"/>
      <c r="H16" s="3" t="n"/>
    </row>
    <row r="17">
      <c r="A17" s="6" t="inlineStr">
        <is>
          <t>Tab</t>
        </is>
      </c>
      <c r="B17" s="6" t="inlineStr">
        <is>
          <t>Purpose</t>
        </is>
      </c>
    </row>
    <row r="18">
      <c r="A18" s="7" t="inlineStr">
        <is>
          <t>Entity Summary Dashboard</t>
        </is>
      </c>
      <c r="B18" s="8" t="inlineStr">
        <is>
          <t>Entity-level snapshot across Beaman Ventures, Lee Beaman, Kat Trust, and Nat Trust.</t>
        </is>
      </c>
    </row>
    <row r="19">
      <c r="A19" s="7" t="inlineStr">
        <is>
          <t>Combined Portfolio Dashboard</t>
        </is>
      </c>
      <c r="B19" s="8" t="inlineStr">
        <is>
          <t>Whole-portfolio KPI view and chart package for internal review.</t>
        </is>
      </c>
    </row>
    <row r="20">
      <c r="A20" s="7" t="inlineStr">
        <is>
          <t>Investment Master</t>
        </is>
      </c>
      <c r="B20" s="8" t="inlineStr">
        <is>
          <t>One-row-per-investment reference table with ownership and valuation rollups.</t>
        </is>
      </c>
    </row>
    <row r="21">
      <c r="A21" s="7" t="inlineStr">
        <is>
          <t>Cash Flow Ledger</t>
        </is>
      </c>
      <c r="B21" s="8" t="inlineStr">
        <is>
          <t>Source-of-truth dated capital calls, distributions, dividends, and exit cash flows.</t>
        </is>
      </c>
    </row>
    <row r="22">
      <c r="A22" s="7" t="inlineStr">
        <is>
          <t>Official Valuation Ledger</t>
        </is>
      </c>
      <c r="B22" s="8" t="inlineStr">
        <is>
          <t>Conservative reporting marks anchored to external valuation events.</t>
        </is>
      </c>
    </row>
    <row r="23">
      <c r="A23" s="7" t="inlineStr">
        <is>
          <t>Internal Valuation Model</t>
        </is>
      </c>
      <c r="B23" s="8" t="inlineStr">
        <is>
          <t>Team underwriting view using EBITDA, revenue, NAV, or manual override.</t>
        </is>
      </c>
    </row>
    <row r="24">
      <c r="A24" s="7" t="inlineStr">
        <is>
          <t>Exit Scenario Valuation</t>
        </is>
      </c>
      <c r="B24" s="8" t="inlineStr">
        <is>
          <t>Upside/downside planning case based on realistic exit assumptions.</t>
        </is>
      </c>
    </row>
    <row r="25">
      <c r="A25" s="7" t="inlineStr">
        <is>
          <t>Audit Checks</t>
        </is>
      </c>
      <c r="B25" s="8" t="inlineStr">
        <is>
          <t>Control framework to validate that source data and rollups tie.</t>
        </is>
      </c>
    </row>
  </sheetData>
  <mergeCells count="16">
    <mergeCell ref="A1:H1"/>
    <mergeCell ref="A4:H4"/>
    <mergeCell ref="B22:H22"/>
    <mergeCell ref="A3:H3"/>
    <mergeCell ref="B18:H18"/>
    <mergeCell ref="A7:H7"/>
    <mergeCell ref="B21:H21"/>
    <mergeCell ref="A2:H2"/>
    <mergeCell ref="A16:H16"/>
    <mergeCell ref="B24:H24"/>
    <mergeCell ref="B25:H25"/>
    <mergeCell ref="A5:H5"/>
    <mergeCell ref="B19:H19"/>
    <mergeCell ref="B20:H20"/>
    <mergeCell ref="A6:H6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Assumptions &amp; Methodology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Purpose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5" t="inlineStr">
        <is>
          <t>• Official valuation represents the conservative reporting view and should stay at cost until there is a real external marker event.</t>
        </is>
      </c>
    </row>
    <row r="4">
      <c r="A4" s="5" t="inlineStr">
        <is>
          <t>• Internal valuation reflects the investment team's best estimate using selected valuation methods such as EBITDA, revenue, NAV, or manual override.</t>
        </is>
      </c>
    </row>
    <row r="5">
      <c r="A5" s="5" t="inlineStr">
        <is>
          <t>• Exit scenario value is a planning case and should not be used as official NAV.</t>
        </is>
      </c>
    </row>
    <row r="6">
      <c r="A6" s="5" t="inlineStr">
        <is>
          <t>• Official / Internal / Exit XIRR all use actual dated cash flows from the ledger, plus the relevant ending value as a terminal positive cash flow dated as of today.</t>
        </is>
      </c>
    </row>
    <row r="7">
      <c r="A7" s="5" t="inlineStr">
        <is>
          <t>• TVPI = (Distributions + Residual Value) / Paid-In Capital. DPI = Distributions / Paid-In Capital. RVPI = Residual Value / Paid-In Capital. MOIC is shown as turns.</t>
        </is>
      </c>
    </row>
    <row r="8">
      <c r="A8" s="5" t="inlineStr">
        <is>
          <t>• Entity-level NAV is allocated using current ownership percentages maintained in the Investment Master tab.</t>
        </is>
      </c>
    </row>
    <row r="10">
      <c r="A10" s="9" t="inlineStr">
        <is>
          <t>Valuation views</t>
        </is>
      </c>
      <c r="B10" s="2" t="n"/>
      <c r="C10" s="2" t="n"/>
      <c r="D10" s="2" t="n"/>
      <c r="E10" s="2" t="n"/>
      <c r="F10" s="2" t="n"/>
      <c r="G10" s="2" t="n"/>
      <c r="H10" s="3" t="n"/>
    </row>
    <row r="11">
      <c r="A11" s="6" t="inlineStr">
        <is>
          <t>Official Conservative Mark</t>
        </is>
      </c>
      <c r="B11" s="8" t="inlineStr">
        <is>
          <t>Board and reporting view. Stay at cost until a priced round, market transaction, or credible external marker supports a change.</t>
        </is>
      </c>
    </row>
    <row r="12">
      <c r="A12" s="6" t="inlineStr">
        <is>
          <t>Internal Valuation Mark</t>
        </is>
      </c>
      <c r="B12" s="8" t="inlineStr">
        <is>
          <t>Best internal view of equity value using the selected operating valuation framework and team judgment.</t>
        </is>
      </c>
    </row>
    <row r="13">
      <c r="A13" s="6" t="inlineStr">
        <is>
          <t>Potential Exit Value</t>
        </is>
      </c>
      <c r="B13" s="8" t="inlineStr">
        <is>
          <t>Scenario planning view only. Useful for upside framing, capital allocation decisions, and embedded value discussion.</t>
        </is>
      </c>
    </row>
  </sheetData>
  <mergeCells count="12">
    <mergeCell ref="A1:H1"/>
    <mergeCell ref="A4:H4"/>
    <mergeCell ref="A3:H3"/>
    <mergeCell ref="A7:H7"/>
    <mergeCell ref="B13:H13"/>
    <mergeCell ref="A2:H2"/>
    <mergeCell ref="B12:H12"/>
    <mergeCell ref="A10:H10"/>
    <mergeCell ref="B11:H11"/>
    <mergeCell ref="A5:H5"/>
    <mergeCell ref="A8:H8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</cols>
  <sheetData>
    <row r="1">
      <c r="A1" s="10" t="inlineStr">
        <is>
          <t>Entity Summary Dashboard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6" t="inlineStr">
        <is>
          <t>Total Invested Capital</t>
        </is>
      </c>
      <c r="B3" s="11">
        <f>SUM(tblEntityPerf[Total invested capital])</f>
        <v/>
      </c>
      <c r="D3" s="6" t="inlineStr">
        <is>
          <t>By entity snapshot</t>
        </is>
      </c>
    </row>
    <row r="4">
      <c r="A4" s="6" t="inlineStr">
        <is>
          <t>Total Distributions</t>
        </is>
      </c>
      <c r="B4" s="11">
        <f>SUM(tblEntityPerf[Total distributions])</f>
        <v/>
      </c>
      <c r="D4" s="6" t="inlineStr">
        <is>
          <t>Entity</t>
        </is>
      </c>
      <c r="E4" s="12" t="inlineStr">
        <is>
          <t>Invested</t>
        </is>
      </c>
      <c r="F4" s="6" t="inlineStr">
        <is>
          <t>Distributed</t>
        </is>
      </c>
      <c r="G4" s="6" t="inlineStr">
        <is>
          <t>Official NAV</t>
        </is>
      </c>
      <c r="H4" s="6" t="inlineStr">
        <is>
          <t>Internal NAV</t>
        </is>
      </c>
      <c r="I4" s="6" t="inlineStr">
        <is>
          <t>Exit NAV</t>
        </is>
      </c>
      <c r="J4" s="6" t="inlineStr">
        <is>
          <t>TVPI</t>
        </is>
      </c>
      <c r="K4" s="6" t="inlineStr">
        <is>
          <t>Official XIRR</t>
        </is>
      </c>
    </row>
    <row r="5">
      <c r="A5" s="6" t="inlineStr">
        <is>
          <t>Official NAV</t>
        </is>
      </c>
      <c r="B5" s="11">
        <f>SUM(tblEntityPerf[Official NAV])</f>
        <v/>
      </c>
      <c r="D5" s="13">
        <f>'Entity-Level Performance'!A4</f>
        <v/>
      </c>
      <c r="E5" s="11">
        <f>'Entity-Level Performance'!B4</f>
        <v/>
      </c>
      <c r="F5" s="13">
        <f>'Entity-Level Performance'!C4</f>
        <v/>
      </c>
      <c r="G5" s="13">
        <f>'Entity-Level Performance'!E4</f>
        <v/>
      </c>
      <c r="H5" s="13">
        <f>'Entity-Level Performance'!F4</f>
        <v/>
      </c>
      <c r="I5" s="13">
        <f>'Entity-Level Performance'!G4</f>
        <v/>
      </c>
      <c r="J5" s="13">
        <f>'Entity-Level Performance'!H4</f>
        <v/>
      </c>
      <c r="K5" s="13">
        <f>'Entity-Level Performance'!K4</f>
        <v/>
      </c>
    </row>
    <row r="6">
      <c r="A6" s="6" t="inlineStr">
        <is>
          <t>Internal NAV</t>
        </is>
      </c>
      <c r="B6" s="11">
        <f>SUM(tblEntityPerf[Internal NAV])</f>
        <v/>
      </c>
      <c r="D6" s="13">
        <f>'Entity-Level Performance'!A5</f>
        <v/>
      </c>
      <c r="E6" s="14">
        <f>'Entity-Level Performance'!B5</f>
        <v/>
      </c>
      <c r="F6" s="13">
        <f>'Entity-Level Performance'!C5</f>
        <v/>
      </c>
      <c r="G6" s="13">
        <f>'Entity-Level Performance'!E5</f>
        <v/>
      </c>
      <c r="H6" s="13">
        <f>'Entity-Level Performance'!F5</f>
        <v/>
      </c>
      <c r="I6" s="13">
        <f>'Entity-Level Performance'!G5</f>
        <v/>
      </c>
      <c r="J6" s="13">
        <f>'Entity-Level Performance'!H5</f>
        <v/>
      </c>
      <c r="K6" s="13">
        <f>'Entity-Level Performance'!K5</f>
        <v/>
      </c>
    </row>
    <row r="7">
      <c r="A7" s="6" t="inlineStr">
        <is>
          <t>Exit Scenario Value</t>
        </is>
      </c>
      <c r="B7" s="11">
        <f>SUM(tblEntityPerf[Exit Scenario NAV])</f>
        <v/>
      </c>
      <c r="D7" s="13">
        <f>'Entity-Level Performance'!A6</f>
        <v/>
      </c>
      <c r="E7" s="14">
        <f>'Entity-Level Performance'!B6</f>
        <v/>
      </c>
      <c r="F7" s="13">
        <f>'Entity-Level Performance'!C6</f>
        <v/>
      </c>
      <c r="G7" s="13">
        <f>'Entity-Level Performance'!E6</f>
        <v/>
      </c>
      <c r="H7" s="13">
        <f>'Entity-Level Performance'!F6</f>
        <v/>
      </c>
      <c r="I7" s="13">
        <f>'Entity-Level Performance'!G6</f>
        <v/>
      </c>
      <c r="J7" s="13">
        <f>'Entity-Level Performance'!H6</f>
        <v/>
      </c>
      <c r="K7" s="13">
        <f>'Entity-Level Performance'!K6</f>
        <v/>
      </c>
    </row>
    <row r="8">
      <c r="A8" s="6" t="inlineStr">
        <is>
          <t>Official XIRR</t>
        </is>
      </c>
      <c r="B8" s="14">
        <f>IFERROR(LET(cf,tblCashFlows[Net Cash Flow],dt,tblCashFlows[Transaction Date],tv,SUM(tblEntityPerf[Official NAV]),XIRR(VSTACK(cf,tv),VSTACK(dt,TODAY()))),"")</f>
        <v/>
      </c>
      <c r="D8" s="13">
        <f>'Entity-Level Performance'!A7</f>
        <v/>
      </c>
      <c r="E8" s="14">
        <f>'Entity-Level Performance'!B7</f>
        <v/>
      </c>
      <c r="F8" s="13">
        <f>'Entity-Level Performance'!C7</f>
        <v/>
      </c>
      <c r="G8" s="13">
        <f>'Entity-Level Performance'!E7</f>
        <v/>
      </c>
      <c r="H8" s="13">
        <f>'Entity-Level Performance'!F7</f>
        <v/>
      </c>
      <c r="I8" s="13">
        <f>'Entity-Level Performance'!G7</f>
        <v/>
      </c>
      <c r="J8" s="13">
        <f>'Entity-Level Performance'!H7</f>
        <v/>
      </c>
      <c r="K8" s="13">
        <f>'Entity-Level Performance'!K7</f>
        <v/>
      </c>
    </row>
    <row r="9">
      <c r="B9" s="15" t="n"/>
      <c r="E9" s="15" t="n"/>
    </row>
    <row r="10">
      <c r="B10" s="15" t="n"/>
      <c r="E10" s="15" t="n"/>
    </row>
    <row r="11">
      <c r="B11" s="15" t="n"/>
      <c r="E11" s="15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4" customWidth="1" min="4" max="4"/>
    <col width="18" customWidth="1" min="5" max="5"/>
    <col width="24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>
      <c r="A1" s="10" t="inlineStr">
        <is>
          <t>Combined Portfolio Dashboard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6" t="inlineStr">
        <is>
          <t>Total Invested Capital</t>
        </is>
      </c>
      <c r="B3" s="11">
        <f>SUM(tblInvestments[Total invested capital])</f>
        <v/>
      </c>
      <c r="D3" s="6" t="inlineStr">
        <is>
          <t>Internal XIRR</t>
        </is>
      </c>
      <c r="E3" s="11">
        <f>IFERROR(LET(cf,tblCashFlows[Net Cash Flow],dt,tblCashFlows[Transaction Date],tv,SUM(tblInvestments[Internal current value]),XIRR(VSTACK(cf,tv),VSTACK(dt,TODAY()))),"")</f>
        <v/>
      </c>
      <c r="F3" s="6" t="inlineStr">
        <is>
          <t>Top investments by value</t>
        </is>
      </c>
    </row>
    <row r="4">
      <c r="A4" s="6" t="inlineStr">
        <is>
          <t>Total Distributions</t>
        </is>
      </c>
      <c r="B4" s="11">
        <f>SUM(tblInvestments[Total distributions])</f>
        <v/>
      </c>
      <c r="D4" s="6" t="inlineStr">
        <is>
          <t>Exit XIRR</t>
        </is>
      </c>
      <c r="E4" s="11">
        <f>IFERROR(LET(cf,tblCashFlows[Net Cash Flow],dt,tblCashFlows[Transaction Date],tv,SUM(tblInvestments[Exit scenario value]),XIRR(VSTACK(cf,tv),VSTACK(dt,TODAY()))),"")</f>
        <v/>
      </c>
      <c r="F4" s="6" t="inlineStr">
        <is>
          <t>Investment</t>
        </is>
      </c>
      <c r="G4" s="6" t="inlineStr">
        <is>
          <t>Official Value</t>
        </is>
      </c>
      <c r="H4" s="6" t="inlineStr">
        <is>
          <t>Internal Value</t>
        </is>
      </c>
      <c r="I4" s="6" t="inlineStr">
        <is>
          <t>Exit Value</t>
        </is>
      </c>
      <c r="J4" s="6" t="inlineStr">
        <is>
          <t>Gain / Loss</t>
        </is>
      </c>
    </row>
    <row r="5">
      <c r="A5" s="6" t="inlineStr">
        <is>
          <t>Official NAV</t>
        </is>
      </c>
      <c r="B5" s="11">
        <f>SUM(tblInvestments[Official current value])</f>
        <v/>
      </c>
      <c r="D5" s="6" t="inlineStr">
        <is>
          <t>Realized Value</t>
        </is>
      </c>
      <c r="E5" s="11">
        <f>SUM(tblInvestments[Total distributions])</f>
        <v/>
      </c>
      <c r="F5" s="13">
        <f>'Investment-Level Performance'!B4</f>
        <v/>
      </c>
      <c r="G5" s="13">
        <f>'Investment-Level Performance'!F4</f>
        <v/>
      </c>
      <c r="H5" s="13">
        <f>'Investment-Level Performance'!G4</f>
        <v/>
      </c>
      <c r="I5" s="13">
        <f>'Investment-Level Performance'!H4</f>
        <v/>
      </c>
      <c r="J5" s="13">
        <f>'Investment-Level Performance'!Q4</f>
        <v/>
      </c>
    </row>
    <row r="6">
      <c r="A6" s="6" t="inlineStr">
        <is>
          <t>Internal NAV</t>
        </is>
      </c>
      <c r="B6" s="11">
        <f>SUM(tblInvestments[Internal current value])</f>
        <v/>
      </c>
      <c r="D6" s="6" t="inlineStr">
        <is>
          <t>Unrealized Value</t>
        </is>
      </c>
      <c r="E6" s="14">
        <f>SUM(tblInvestments[Official current value])</f>
        <v/>
      </c>
      <c r="F6" s="13">
        <f>'Investment-Level Performance'!B5</f>
        <v/>
      </c>
      <c r="G6" s="13">
        <f>'Investment-Level Performance'!F5</f>
        <v/>
      </c>
      <c r="H6" s="13">
        <f>'Investment-Level Performance'!G5</f>
        <v/>
      </c>
      <c r="I6" s="13">
        <f>'Investment-Level Performance'!H5</f>
        <v/>
      </c>
      <c r="J6" s="13">
        <f>'Investment-Level Performance'!Q5</f>
        <v/>
      </c>
    </row>
    <row r="7">
      <c r="A7" s="6" t="inlineStr">
        <is>
          <t>Exit Scenario Value</t>
        </is>
      </c>
      <c r="B7" s="11">
        <f>SUM(tblInvestments[Exit scenario value])</f>
        <v/>
      </c>
      <c r="D7" s="6" t="inlineStr">
        <is>
          <t>Embedded Value Creation</t>
        </is>
      </c>
      <c r="E7" s="14">
        <f>SUM(tblInvestments[Internal current value])-SUM(tblInvestments[Official current value])</f>
        <v/>
      </c>
      <c r="F7" s="13">
        <f>'Investment-Level Performance'!B6</f>
        <v/>
      </c>
      <c r="G7" s="13">
        <f>'Investment-Level Performance'!F6</f>
        <v/>
      </c>
      <c r="H7" s="13">
        <f>'Investment-Level Performance'!G6</f>
        <v/>
      </c>
      <c r="I7" s="13">
        <f>'Investment-Level Performance'!H6</f>
        <v/>
      </c>
      <c r="J7" s="13">
        <f>'Investment-Level Performance'!Q6</f>
        <v/>
      </c>
    </row>
    <row r="8">
      <c r="A8" s="6" t="inlineStr">
        <is>
          <t>Official TVPI</t>
        </is>
      </c>
      <c r="B8" s="14">
        <f>IFERROR((SUM(tblInvestments[Total distributions])+SUM(tblInvestments[Official current value]))/SUM(tblInvestments[Total invested capital]),"")</f>
        <v/>
      </c>
      <c r="D8" s="6" t="inlineStr">
        <is>
          <t>Exit Upside</t>
        </is>
      </c>
      <c r="E8" s="14">
        <f>SUM(tblInvestments[Exit scenario value])-SUM(tblInvestments[Internal current value])</f>
        <v/>
      </c>
      <c r="F8" s="13">
        <f>'Investment-Level Performance'!B7</f>
        <v/>
      </c>
      <c r="G8" s="13">
        <f>'Investment-Level Performance'!F7</f>
        <v/>
      </c>
      <c r="H8" s="13">
        <f>'Investment-Level Performance'!G7</f>
        <v/>
      </c>
      <c r="I8" s="13">
        <f>'Investment-Level Performance'!H7</f>
        <v/>
      </c>
      <c r="J8" s="13">
        <f>'Investment-Level Performance'!Q7</f>
        <v/>
      </c>
    </row>
    <row r="9">
      <c r="A9" s="6" t="inlineStr">
        <is>
          <t>Internal TVPI</t>
        </is>
      </c>
      <c r="B9" s="14">
        <f>IFERROR((SUM(tblInvestments[Total distributions])+SUM(tblInvestments[Internal current value]))/SUM(tblInvestments[Total invested capital]),"")</f>
        <v/>
      </c>
      <c r="D9" s="6" t="inlineStr">
        <is>
          <t>Number of Investments</t>
        </is>
      </c>
      <c r="E9" s="14">
        <f>ROWS(tblInvestments[Investment ID])</f>
        <v/>
      </c>
      <c r="F9" s="13">
        <f>'Investment-Level Performance'!B8</f>
        <v/>
      </c>
      <c r="G9" s="13">
        <f>'Investment-Level Performance'!F8</f>
        <v/>
      </c>
      <c r="H9" s="13">
        <f>'Investment-Level Performance'!G8</f>
        <v/>
      </c>
      <c r="I9" s="13">
        <f>'Investment-Level Performance'!H8</f>
        <v/>
      </c>
      <c r="J9" s="13">
        <f>'Investment-Level Performance'!Q8</f>
        <v/>
      </c>
    </row>
    <row r="10">
      <c r="A10" s="6" t="inlineStr">
        <is>
          <t>Exit TVPI</t>
        </is>
      </c>
      <c r="B10" s="14">
        <f>IFERROR((SUM(tblInvestments[Total distributions])+SUM(tblInvestments[Exit scenario value]))/SUM(tblInvestments[Total invested capital]),"")</f>
        <v/>
      </c>
      <c r="D10" s="6" t="inlineStr">
        <is>
          <t>Number of Active Investments</t>
        </is>
      </c>
      <c r="E10" s="14">
        <f>COUNTIF(tblInvestments[Status],"Active")+COUNTIF(tblInvestments[Status],"Partially Realized")</f>
        <v/>
      </c>
      <c r="F10" s="13">
        <f>'Investment-Level Performance'!B9</f>
        <v/>
      </c>
      <c r="G10" s="13">
        <f>'Investment-Level Performance'!F9</f>
        <v/>
      </c>
      <c r="H10" s="13">
        <f>'Investment-Level Performance'!G9</f>
        <v/>
      </c>
      <c r="I10" s="13">
        <f>'Investment-Level Performance'!H9</f>
        <v/>
      </c>
      <c r="J10" s="13">
        <f>'Investment-Level Performance'!Q9</f>
        <v/>
      </c>
    </row>
    <row r="11">
      <c r="A11" s="6" t="inlineStr">
        <is>
          <t>Official XIRR</t>
        </is>
      </c>
      <c r="B11" s="14">
        <f>IFERROR(LET(cf,tblCashFlows[Net Cash Flow],dt,tblCashFlows[Transaction Date],tv,SUM(tblInvestments[Official current value]),XIRR(VSTACK(cf,tv),VSTACK(dt,TODAY()))),"")</f>
        <v/>
      </c>
      <c r="D11" s="6" t="inlineStr">
        <is>
          <t>Number of Realized Investments</t>
        </is>
      </c>
      <c r="E11" s="14">
        <f>COUNTIF(tblInvestments[Status],"Realized")</f>
        <v/>
      </c>
      <c r="F11" s="13">
        <f>'Investment-Level Performance'!B10</f>
        <v/>
      </c>
      <c r="G11" s="13">
        <f>'Investment-Level Performance'!F10</f>
        <v/>
      </c>
      <c r="H11" s="13">
        <f>'Investment-Level Performance'!G10</f>
        <v/>
      </c>
      <c r="I11" s="13">
        <f>'Investment-Level Performance'!H10</f>
        <v/>
      </c>
      <c r="J11" s="13">
        <f>'Investment-Level Performance'!Q10</f>
        <v/>
      </c>
    </row>
    <row r="12">
      <c r="F12" s="13">
        <f>'Investment-Level Performance'!B11</f>
        <v/>
      </c>
      <c r="G12" s="13">
        <f>'Investment-Level Performance'!F11</f>
        <v/>
      </c>
      <c r="H12" s="13">
        <f>'Investment-Level Performance'!G11</f>
        <v/>
      </c>
      <c r="I12" s="13">
        <f>'Investment-Level Performance'!H11</f>
        <v/>
      </c>
      <c r="J12" s="13">
        <f>'Investment-Level Performance'!Q11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6" customWidth="1" min="4" max="4"/>
    <col width="18" customWidth="1" min="5" max="5"/>
    <col width="16" customWidth="1" min="6" max="6"/>
    <col width="24" customWidth="1" min="7" max="7"/>
    <col width="14" customWidth="1" min="8" max="8"/>
    <col width="24" customWidth="1" min="9" max="9"/>
    <col width="24" customWidth="1" min="10" max="10"/>
    <col width="22" customWidth="1" min="11" max="11"/>
    <col width="12" customWidth="1" min="12" max="12"/>
    <col width="14" customWidth="1" min="13" max="13"/>
    <col width="16" customWidth="1" min="14" max="14"/>
    <col width="15" customWidth="1" min="15" max="15"/>
    <col width="13" customWidth="1" min="16" max="16"/>
    <col width="13" customWidth="1" min="17" max="17"/>
    <col width="13" customWidth="1" min="18" max="18"/>
    <col width="15" customWidth="1" min="19" max="19"/>
    <col width="26" customWidth="1" min="20" max="20"/>
    <col width="2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4" customWidth="1" min="27" max="27"/>
    <col width="14" customWidth="1" min="28" max="28"/>
    <col width="14" customWidth="1" min="29" max="29"/>
    <col width="13" customWidth="1" min="30" max="30"/>
    <col width="13" customWidth="1" min="31" max="31"/>
    <col width="13" customWidth="1" min="32" max="32"/>
  </cols>
  <sheetData>
    <row r="1">
      <c r="A1" s="16" t="inlineStr">
        <is>
          <t>Investment Master | One row per investment</t>
        </is>
      </c>
    </row>
    <row r="2">
      <c r="A2" s="5" t="inlineStr">
        <is>
          <t>Yellow cells are core inputs. Formula columns roll up cash flows, current marks, and performance.</t>
        </is>
      </c>
    </row>
    <row r="3">
      <c r="A3" s="6" t="inlineStr">
        <is>
          <t>Investment ID</t>
        </is>
      </c>
      <c r="B3" s="6" t="inlineStr">
        <is>
          <t>Investment Name</t>
        </is>
      </c>
      <c r="C3" s="6" t="inlineStr">
        <is>
          <t>Sector / Strategy</t>
        </is>
      </c>
      <c r="D3" s="6" t="inlineStr">
        <is>
          <t>Asset Type</t>
        </is>
      </c>
      <c r="E3" s="6" t="inlineStr">
        <is>
          <t>Status</t>
        </is>
      </c>
      <c r="F3" s="6" t="inlineStr">
        <is>
          <t>Initial Investment Date</t>
        </is>
      </c>
      <c r="G3" s="6" t="inlineStr">
        <is>
          <t>Sponsor / Manager</t>
        </is>
      </c>
      <c r="H3" s="6" t="inlineStr">
        <is>
          <t>Geography</t>
        </is>
      </c>
      <c r="I3" s="6" t="inlineStr">
        <is>
          <t>Official Valuation Method</t>
        </is>
      </c>
      <c r="J3" s="6" t="inlineStr">
        <is>
          <t>Internal Valuation Method</t>
        </is>
      </c>
      <c r="K3" s="6" t="inlineStr">
        <is>
          <t>Exit Valuation Method</t>
        </is>
      </c>
      <c r="L3" s="6" t="inlineStr">
        <is>
          <t>Board Seat?</t>
        </is>
      </c>
      <c r="M3" s="6" t="inlineStr">
        <is>
          <t>Lead / Co-invest?</t>
        </is>
      </c>
      <c r="N3" s="6" t="inlineStr">
        <is>
          <t>Commitment Amount</t>
        </is>
      </c>
      <c r="O3" s="6" t="inlineStr">
        <is>
          <t>Beaman Ventures %</t>
        </is>
      </c>
      <c r="P3" s="6" t="inlineStr">
        <is>
          <t>Lee Beaman %</t>
        </is>
      </c>
      <c r="Q3" s="6" t="inlineStr">
        <is>
          <t>Kat Trust %</t>
        </is>
      </c>
      <c r="R3" s="6" t="inlineStr">
        <is>
          <t>Nat Trust %</t>
        </is>
      </c>
      <c r="S3" s="6" t="inlineStr">
        <is>
          <t>Ownership % total</t>
        </is>
      </c>
      <c r="T3" s="6" t="inlineStr">
        <is>
          <t>Entity ownership notes</t>
        </is>
      </c>
      <c r="U3" s="6" t="inlineStr">
        <is>
          <t>Notes</t>
        </is>
      </c>
      <c r="V3" s="6" t="inlineStr">
        <is>
          <t>Total invested capital</t>
        </is>
      </c>
      <c r="W3" s="6" t="inlineStr">
        <is>
          <t>Total distributions</t>
        </is>
      </c>
      <c r="X3" s="6" t="inlineStr">
        <is>
          <t>Official current value</t>
        </is>
      </c>
      <c r="Y3" s="6" t="inlineStr">
        <is>
          <t>Internal current value</t>
        </is>
      </c>
      <c r="Z3" s="6" t="inlineStr">
        <is>
          <t>Exit scenario value</t>
        </is>
      </c>
      <c r="AA3" s="6" t="inlineStr">
        <is>
          <t>Official MOIC</t>
        </is>
      </c>
      <c r="AB3" s="6" t="inlineStr">
        <is>
          <t>Internal MOIC</t>
        </is>
      </c>
      <c r="AC3" s="6" t="inlineStr">
        <is>
          <t>Exit MOIC</t>
        </is>
      </c>
      <c r="AD3" s="6" t="inlineStr">
        <is>
          <t>Official XIRR</t>
        </is>
      </c>
      <c r="AE3" s="6" t="inlineStr">
        <is>
          <t>Internal XIRR</t>
        </is>
      </c>
      <c r="AF3" s="6" t="inlineStr">
        <is>
          <t>Exit XIRR</t>
        </is>
      </c>
    </row>
    <row r="4">
      <c r="A4" s="17" t="inlineStr">
        <is>
          <t>INV-001</t>
        </is>
      </c>
      <c r="B4" s="17" t="inlineStr">
        <is>
          <t>Atlas Data Platforms</t>
        </is>
      </c>
      <c r="C4" s="17" t="inlineStr">
        <is>
          <t>Application Software</t>
        </is>
      </c>
      <c r="D4" s="17" t="inlineStr">
        <is>
          <t>Venture Equity</t>
        </is>
      </c>
      <c r="E4" s="17" t="inlineStr">
        <is>
          <t>Active</t>
        </is>
      </c>
      <c r="F4" s="18" t="n">
        <v>44635</v>
      </c>
      <c r="G4" s="17" t="inlineStr">
        <is>
          <t>North Peak Ventures</t>
        </is>
      </c>
      <c r="H4" s="17" t="inlineStr">
        <is>
          <t>United States</t>
        </is>
      </c>
      <c r="I4" s="17" t="inlineStr">
        <is>
          <t>Priced Round</t>
        </is>
      </c>
      <c r="J4" s="17" t="inlineStr">
        <is>
          <t>Revenue multiple</t>
        </is>
      </c>
      <c r="K4" s="17" t="inlineStr">
        <is>
          <t>Revenue multiple</t>
        </is>
      </c>
      <c r="L4" s="17" t="inlineStr">
        <is>
          <t>Y</t>
        </is>
      </c>
      <c r="M4" s="17" t="inlineStr">
        <is>
          <t>Lead</t>
        </is>
      </c>
      <c r="N4" s="19" t="n">
        <v>3000000</v>
      </c>
      <c r="O4" s="20" t="n">
        <v>0.4</v>
      </c>
      <c r="P4" s="20" t="n">
        <v>0.3</v>
      </c>
      <c r="Q4" s="20" t="n">
        <v>0.2</v>
      </c>
      <c r="R4" s="20" t="n">
        <v>0.1</v>
      </c>
      <c r="S4" s="20" t="n">
        <v>0.08</v>
      </c>
      <c r="T4" s="17" t="inlineStr">
        <is>
          <t>Cross-entity core software position.</t>
        </is>
      </c>
      <c r="U4" s="17" t="inlineStr">
        <is>
          <t>Workflow automation platform serving mid-market industrial customers.</t>
        </is>
      </c>
      <c r="V4" s="21">
        <f>SUMIFS(tblCashFlows[Contribution Amount],tblCashFlows[Investment ID],A4)</f>
        <v/>
      </c>
      <c r="W4" s="21">
        <f>SUMIFS(tblCashFlows[Distribution Amount],tblCashFlows[Investment ID],A4)</f>
        <v/>
      </c>
      <c r="X4" s="21">
        <f>XLOOKUP(A4,tblOfficialMarks[Investment ID],tblOfficialMarks[New Official Value],0,0,-1)</f>
        <v/>
      </c>
      <c r="Y4" s="21">
        <f>XLOOKUP(A4,tblInternalModel[Investment ID],tblInternalModel[Final Internal Value],0,0,-1)</f>
        <v/>
      </c>
      <c r="Z4" s="21">
        <f>XLOOKUP(A4,tblExitScenarios[Investment ID],tblExitScenarios[Net Exit Value],0,0,-1)</f>
        <v/>
      </c>
      <c r="AA4" s="7">
        <f>IFERROR((W4+X4)/V4,"")</f>
        <v/>
      </c>
      <c r="AB4" s="7">
        <f>IFERROR((W4+Y4)/V4,"")</f>
        <v/>
      </c>
      <c r="AC4" s="7">
        <f>IFERROR((W4+Z4)/V4,"")</f>
        <v/>
      </c>
      <c r="AD4" s="22">
        <f>IFERROR(LET(cf,FILTER(tblCashFlows[Net Cash Flow],tblCashFlows[Investment ID]=A4),dt,FILTER(tblCashFlows[Transaction Date],tblCashFlows[Investment ID]=A4),XIRR(VSTACK(cf,N(X4)),VSTACK(dt,TODAY()))),"")</f>
        <v/>
      </c>
      <c r="AE4" s="22">
        <f>IFERROR(LET(cf,FILTER(tblCashFlows[Net Cash Flow],tblCashFlows[Investment ID]=A4),dt,FILTER(tblCashFlows[Transaction Date],tblCashFlows[Investment ID]=A4),XIRR(VSTACK(cf,N(Y4)),VSTACK(dt,TODAY()))),"")</f>
        <v/>
      </c>
      <c r="AF4" s="22">
        <f>IFERROR(LET(cf,FILTER(tblCashFlows[Net Cash Flow],tblCashFlows[Investment ID]=A4),dt,FILTER(tblCashFlows[Transaction Date],tblCashFlows[Investment ID]=A4),XIRR(VSTACK(cf,N(Z4)),VSTACK(dt,TODAY()))),"")</f>
        <v/>
      </c>
    </row>
    <row r="5">
      <c r="A5" s="17" t="inlineStr">
        <is>
          <t>INV-002</t>
        </is>
      </c>
      <c r="B5" s="17" t="inlineStr">
        <is>
          <t>Harbor Health Partners</t>
        </is>
      </c>
      <c r="C5" s="17" t="inlineStr">
        <is>
          <t>Healthcare Services</t>
        </is>
      </c>
      <c r="D5" s="17" t="inlineStr">
        <is>
          <t>Growth Equity</t>
        </is>
      </c>
      <c r="E5" s="17" t="inlineStr">
        <is>
          <t>Active</t>
        </is>
      </c>
      <c r="F5" s="18" t="n">
        <v>44449</v>
      </c>
      <c r="G5" s="17" t="inlineStr">
        <is>
          <t>Oak Hill Growth</t>
        </is>
      </c>
      <c r="H5" s="17" t="inlineStr">
        <is>
          <t>United States</t>
        </is>
      </c>
      <c r="I5" s="17" t="inlineStr">
        <is>
          <t>Cost</t>
        </is>
      </c>
      <c r="J5" s="17" t="inlineStr">
        <is>
          <t>EBITDA multiple</t>
        </is>
      </c>
      <c r="K5" s="17" t="inlineStr">
        <is>
          <t>EBITDA multiple</t>
        </is>
      </c>
      <c r="L5" s="17" t="inlineStr">
        <is>
          <t>N</t>
        </is>
      </c>
      <c r="M5" s="17" t="inlineStr">
        <is>
          <t>Co-invest</t>
        </is>
      </c>
      <c r="N5" s="19" t="n">
        <v>2500000</v>
      </c>
      <c r="O5" s="20" t="n">
        <v>0.5</v>
      </c>
      <c r="P5" s="20" t="n">
        <v>0</v>
      </c>
      <c r="Q5" s="20" t="n">
        <v>0.25</v>
      </c>
      <c r="R5" s="20" t="n">
        <v>0.25</v>
      </c>
      <c r="S5" s="20" t="n">
        <v>0.12</v>
      </c>
      <c r="T5" s="17" t="inlineStr">
        <is>
          <t>Weighted toward Beaman Ventures with trust participation.</t>
        </is>
      </c>
      <c r="U5" s="17" t="inlineStr">
        <is>
          <t>Provider network services platform with recurring contracted revenue.</t>
        </is>
      </c>
      <c r="V5" s="21">
        <f>SUMIFS(tblCashFlows[Contribution Amount],tblCashFlows[Investment ID],A5)</f>
        <v/>
      </c>
      <c r="W5" s="21">
        <f>SUMIFS(tblCashFlows[Distribution Amount],tblCashFlows[Investment ID],A5)</f>
        <v/>
      </c>
      <c r="X5" s="21">
        <f>XLOOKUP(A5,tblOfficialMarks[Investment ID],tblOfficialMarks[New Official Value],0,0,-1)</f>
        <v/>
      </c>
      <c r="Y5" s="21">
        <f>XLOOKUP(A5,tblInternalModel[Investment ID],tblInternalModel[Final Internal Value],0,0,-1)</f>
        <v/>
      </c>
      <c r="Z5" s="21">
        <f>XLOOKUP(A5,tblExitScenarios[Investment ID],tblExitScenarios[Net Exit Value],0,0,-1)</f>
        <v/>
      </c>
      <c r="AA5" s="7">
        <f>IFERROR((W5+X5)/V5,"")</f>
        <v/>
      </c>
      <c r="AB5" s="7">
        <f>IFERROR((W5+Y5)/V5,"")</f>
        <v/>
      </c>
      <c r="AC5" s="7">
        <f>IFERROR((W5+Z5)/V5,"")</f>
        <v/>
      </c>
      <c r="AD5" s="22">
        <f>IFERROR(LET(cf,FILTER(tblCashFlows[Net Cash Flow],tblCashFlows[Investment ID]=A5),dt,FILTER(tblCashFlows[Transaction Date],tblCashFlows[Investment ID]=A5),XIRR(VSTACK(cf,N(X5)),VSTACK(dt,TODAY()))),"")</f>
        <v/>
      </c>
      <c r="AE5" s="22">
        <f>IFERROR(LET(cf,FILTER(tblCashFlows[Net Cash Flow],tblCashFlows[Investment ID]=A5),dt,FILTER(tblCashFlows[Transaction Date],tblCashFlows[Investment ID]=A5),XIRR(VSTACK(cf,N(Y5)),VSTACK(dt,TODAY()))),"")</f>
        <v/>
      </c>
      <c r="AF5" s="22">
        <f>IFERROR(LET(cf,FILTER(tblCashFlows[Net Cash Flow],tblCashFlows[Investment ID]=A5),dt,FILTER(tblCashFlows[Transaction Date],tblCashFlows[Investment ID]=A5),XIRR(VSTACK(cf,N(Z5)),VSTACK(dt,TODAY()))),"")</f>
        <v/>
      </c>
    </row>
    <row r="6">
      <c r="A6" s="17" t="inlineStr">
        <is>
          <t>INV-003</t>
        </is>
      </c>
      <c r="B6" s="17" t="inlineStr">
        <is>
          <t>Summit Robotics</t>
        </is>
      </c>
      <c r="C6" s="17" t="inlineStr">
        <is>
          <t>Industrial Technology</t>
        </is>
      </c>
      <c r="D6" s="17" t="inlineStr">
        <is>
          <t>Venture Equity</t>
        </is>
      </c>
      <c r="E6" s="17" t="inlineStr">
        <is>
          <t>Partially Realized</t>
        </is>
      </c>
      <c r="F6" s="18" t="n">
        <v>43956</v>
      </c>
      <c r="G6" s="17" t="inlineStr">
        <is>
          <t>Forge Capital</t>
        </is>
      </c>
      <c r="H6" s="17" t="inlineStr">
        <is>
          <t>United States</t>
        </is>
      </c>
      <c r="I6" s="17" t="inlineStr">
        <is>
          <t>Priced Round</t>
        </is>
      </c>
      <c r="J6" s="17" t="inlineStr">
        <is>
          <t>Revenue multiple</t>
        </is>
      </c>
      <c r="K6" s="17" t="inlineStr">
        <is>
          <t>EBITDA multiple</t>
        </is>
      </c>
      <c r="L6" s="17" t="inlineStr">
        <is>
          <t>Y</t>
        </is>
      </c>
      <c r="M6" s="17" t="inlineStr">
        <is>
          <t>Co-invest</t>
        </is>
      </c>
      <c r="N6" s="19" t="n">
        <v>1200000</v>
      </c>
      <c r="O6" s="20" t="n">
        <v>0</v>
      </c>
      <c r="P6" s="20" t="n">
        <v>0.6</v>
      </c>
      <c r="Q6" s="20" t="n">
        <v>0</v>
      </c>
      <c r="R6" s="20" t="n">
        <v>0.4</v>
      </c>
      <c r="S6" s="20" t="n">
        <v>0.065</v>
      </c>
      <c r="T6" s="17" t="inlineStr">
        <is>
          <t>Lee / Nat co-invest with partial liquidity already received.</t>
        </is>
      </c>
      <c r="U6" s="17" t="inlineStr">
        <is>
          <t>Warehouse automation company with partial secondary liquidity realized.</t>
        </is>
      </c>
      <c r="V6" s="21">
        <f>SUMIFS(tblCashFlows[Contribution Amount],tblCashFlows[Investment ID],A6)</f>
        <v/>
      </c>
      <c r="W6" s="21">
        <f>SUMIFS(tblCashFlows[Distribution Amount],tblCashFlows[Investment ID],A6)</f>
        <v/>
      </c>
      <c r="X6" s="21">
        <f>XLOOKUP(A6,tblOfficialMarks[Investment ID],tblOfficialMarks[New Official Value],0,0,-1)</f>
        <v/>
      </c>
      <c r="Y6" s="21">
        <f>XLOOKUP(A6,tblInternalModel[Investment ID],tblInternalModel[Final Internal Value],0,0,-1)</f>
        <v/>
      </c>
      <c r="Z6" s="21">
        <f>XLOOKUP(A6,tblExitScenarios[Investment ID],tblExitScenarios[Net Exit Value],0,0,-1)</f>
        <v/>
      </c>
      <c r="AA6" s="7">
        <f>IFERROR((W6+X6)/V6,"")</f>
        <v/>
      </c>
      <c r="AB6" s="7">
        <f>IFERROR((W6+Y6)/V6,"")</f>
        <v/>
      </c>
      <c r="AC6" s="7">
        <f>IFERROR((W6+Z6)/V6,"")</f>
        <v/>
      </c>
      <c r="AD6" s="22">
        <f>IFERROR(LET(cf,FILTER(tblCashFlows[Net Cash Flow],tblCashFlows[Investment ID]=A6),dt,FILTER(tblCashFlows[Transaction Date],tblCashFlows[Investment ID]=A6),XIRR(VSTACK(cf,N(X6)),VSTACK(dt,TODAY()))),"")</f>
        <v/>
      </c>
      <c r="AE6" s="22">
        <f>IFERROR(LET(cf,FILTER(tblCashFlows[Net Cash Flow],tblCashFlows[Investment ID]=A6),dt,FILTER(tblCashFlows[Transaction Date],tblCashFlows[Investment ID]=A6),XIRR(VSTACK(cf,N(Y6)),VSTACK(dt,TODAY()))),"")</f>
        <v/>
      </c>
      <c r="AF6" s="22">
        <f>IFERROR(LET(cf,FILTER(tblCashFlows[Net Cash Flow],tblCashFlows[Investment ID]=A6),dt,FILTER(tblCashFlows[Transaction Date],tblCashFlows[Investment ID]=A6),XIRR(VSTACK(cf,N(Z6)),VSTACK(dt,TODAY()))),"")</f>
        <v/>
      </c>
    </row>
    <row r="7">
      <c r="A7" s="17" t="inlineStr">
        <is>
          <t>INV-004</t>
        </is>
      </c>
      <c r="B7" s="17" t="inlineStr">
        <is>
          <t>Cedar Credit Fund II</t>
        </is>
      </c>
      <c r="C7" s="17" t="inlineStr">
        <is>
          <t>Private Credit</t>
        </is>
      </c>
      <c r="D7" s="17" t="inlineStr">
        <is>
          <t>Fund</t>
        </is>
      </c>
      <c r="E7" s="17" t="inlineStr">
        <is>
          <t>Active</t>
        </is>
      </c>
      <c r="F7" s="18" t="n">
        <v>44581</v>
      </c>
      <c r="G7" s="17" t="inlineStr">
        <is>
          <t>Cedar Capital</t>
        </is>
      </c>
      <c r="H7" s="17" t="inlineStr">
        <is>
          <t>North America</t>
        </is>
      </c>
      <c r="I7" s="17" t="inlineStr">
        <is>
          <t>Cost</t>
        </is>
      </c>
      <c r="J7" s="17" t="inlineStr">
        <is>
          <t>NAV / asset-based</t>
        </is>
      </c>
      <c r="K7" s="17" t="inlineStr">
        <is>
          <t>NAV / asset-based</t>
        </is>
      </c>
      <c r="L7" s="17" t="inlineStr">
        <is>
          <t>N</t>
        </is>
      </c>
      <c r="M7" s="17" t="inlineStr">
        <is>
          <t>Co-invest</t>
        </is>
      </c>
      <c r="N7" s="19" t="n">
        <v>2000000</v>
      </c>
      <c r="O7" s="20" t="n">
        <v>0.25</v>
      </c>
      <c r="P7" s="20" t="n">
        <v>0.25</v>
      </c>
      <c r="Q7" s="20" t="n">
        <v>0.25</v>
      </c>
      <c r="R7" s="20" t="n">
        <v>0.25</v>
      </c>
      <c r="S7" s="20" t="n">
        <v>0.04</v>
      </c>
      <c r="T7" s="17" t="inlineStr">
        <is>
          <t>Evenly funded across all four entities.</t>
        </is>
      </c>
      <c r="U7" s="17" t="inlineStr">
        <is>
          <t>Senior secured direct lending fund with quarterly distributions.</t>
        </is>
      </c>
      <c r="V7" s="21">
        <f>SUMIFS(tblCashFlows[Contribution Amount],tblCashFlows[Investment ID],A7)</f>
        <v/>
      </c>
      <c r="W7" s="21">
        <f>SUMIFS(tblCashFlows[Distribution Amount],tblCashFlows[Investment ID],A7)</f>
        <v/>
      </c>
      <c r="X7" s="21">
        <f>XLOOKUP(A7,tblOfficialMarks[Investment ID],tblOfficialMarks[New Official Value],0,0,-1)</f>
        <v/>
      </c>
      <c r="Y7" s="21">
        <f>XLOOKUP(A7,tblInternalModel[Investment ID],tblInternalModel[Final Internal Value],0,0,-1)</f>
        <v/>
      </c>
      <c r="Z7" s="21">
        <f>XLOOKUP(A7,tblExitScenarios[Investment ID],tblExitScenarios[Net Exit Value],0,0,-1)</f>
        <v/>
      </c>
      <c r="AA7" s="7">
        <f>IFERROR((W7+X7)/V7,"")</f>
        <v/>
      </c>
      <c r="AB7" s="7">
        <f>IFERROR((W7+Y7)/V7,"")</f>
        <v/>
      </c>
      <c r="AC7" s="7">
        <f>IFERROR((W7+Z7)/V7,"")</f>
        <v/>
      </c>
      <c r="AD7" s="22">
        <f>IFERROR(LET(cf,FILTER(tblCashFlows[Net Cash Flow],tblCashFlows[Investment ID]=A7),dt,FILTER(tblCashFlows[Transaction Date],tblCashFlows[Investment ID]=A7),XIRR(VSTACK(cf,N(X7)),VSTACK(dt,TODAY()))),"")</f>
        <v/>
      </c>
      <c r="AE7" s="22">
        <f>IFERROR(LET(cf,FILTER(tblCashFlows[Net Cash Flow],tblCashFlows[Investment ID]=A7),dt,FILTER(tblCashFlows[Transaction Date],tblCashFlows[Investment ID]=A7),XIRR(VSTACK(cf,N(Y7)),VSTACK(dt,TODAY()))),"")</f>
        <v/>
      </c>
      <c r="AF7" s="22">
        <f>IFERROR(LET(cf,FILTER(tblCashFlows[Net Cash Flow],tblCashFlows[Investment ID]=A7),dt,FILTER(tblCashFlows[Transaction Date],tblCashFlows[Investment ID]=A7),XIRR(VSTACK(cf,N(Z7)),VSTACK(dt,TODAY()))),"")</f>
        <v/>
      </c>
    </row>
    <row r="8">
      <c r="A8" s="17" t="inlineStr">
        <is>
          <t>INV-005</t>
        </is>
      </c>
      <c r="B8" s="17" t="inlineStr">
        <is>
          <t>Meridian Consumer Holdings</t>
        </is>
      </c>
      <c r="C8" s="17" t="inlineStr">
        <is>
          <t>Consumer</t>
        </is>
      </c>
      <c r="D8" s="17" t="inlineStr">
        <is>
          <t>Private Equity</t>
        </is>
      </c>
      <c r="E8" s="17" t="inlineStr">
        <is>
          <t>Realized</t>
        </is>
      </c>
      <c r="F8" s="18" t="n">
        <v>43647</v>
      </c>
      <c r="G8" s="17" t="inlineStr">
        <is>
          <t>Crestline Partners</t>
        </is>
      </c>
      <c r="H8" s="17" t="inlineStr">
        <is>
          <t>United States</t>
        </is>
      </c>
      <c r="I8" s="17" t="inlineStr">
        <is>
          <t>Exit Process</t>
        </is>
      </c>
      <c r="J8" s="17" t="inlineStr">
        <is>
          <t>EBITDA multiple</t>
        </is>
      </c>
      <c r="K8" s="17" t="inlineStr">
        <is>
          <t>EBITDA multiple</t>
        </is>
      </c>
      <c r="L8" s="17" t="inlineStr">
        <is>
          <t>N</t>
        </is>
      </c>
      <c r="M8" s="17" t="inlineStr">
        <is>
          <t>Co-invest</t>
        </is>
      </c>
      <c r="N8" s="19" t="n">
        <v>1500000</v>
      </c>
      <c r="O8" s="20" t="n">
        <v>0.45</v>
      </c>
      <c r="P8" s="20" t="n">
        <v>0.35</v>
      </c>
      <c r="Q8" s="20" t="n">
        <v>0.2</v>
      </c>
      <c r="R8" s="20" t="n">
        <v>0</v>
      </c>
      <c r="S8" s="20" t="n">
        <v>0.05</v>
      </c>
      <c r="T8" s="17" t="inlineStr">
        <is>
          <t>No Nat Trust participation in the original deal.</t>
        </is>
      </c>
      <c r="U8" s="17" t="inlineStr">
        <is>
          <t>Fully exited consumer roll-up with strong realized gains.</t>
        </is>
      </c>
      <c r="V8" s="21">
        <f>SUMIFS(tblCashFlows[Contribution Amount],tblCashFlows[Investment ID],A8)</f>
        <v/>
      </c>
      <c r="W8" s="21">
        <f>SUMIFS(tblCashFlows[Distribution Amount],tblCashFlows[Investment ID],A8)</f>
        <v/>
      </c>
      <c r="X8" s="21">
        <f>XLOOKUP(A8,tblOfficialMarks[Investment ID],tblOfficialMarks[New Official Value],0,0,-1)</f>
        <v/>
      </c>
      <c r="Y8" s="21">
        <f>XLOOKUP(A8,tblInternalModel[Investment ID],tblInternalModel[Final Internal Value],0,0,-1)</f>
        <v/>
      </c>
      <c r="Z8" s="21">
        <f>XLOOKUP(A8,tblExitScenarios[Investment ID],tblExitScenarios[Net Exit Value],0,0,-1)</f>
        <v/>
      </c>
      <c r="AA8" s="7">
        <f>IFERROR((W8+X8)/V8,"")</f>
        <v/>
      </c>
      <c r="AB8" s="7">
        <f>IFERROR((W8+Y8)/V8,"")</f>
        <v/>
      </c>
      <c r="AC8" s="7">
        <f>IFERROR((W8+Z8)/V8,"")</f>
        <v/>
      </c>
      <c r="AD8" s="22">
        <f>IFERROR(LET(cf,FILTER(tblCashFlows[Net Cash Flow],tblCashFlows[Investment ID]=A8),dt,FILTER(tblCashFlows[Transaction Date],tblCashFlows[Investment ID]=A8),XIRR(VSTACK(cf,N(X8)),VSTACK(dt,TODAY()))),"")</f>
        <v/>
      </c>
      <c r="AE8" s="22">
        <f>IFERROR(LET(cf,FILTER(tblCashFlows[Net Cash Flow],tblCashFlows[Investment ID]=A8),dt,FILTER(tblCashFlows[Transaction Date],tblCashFlows[Investment ID]=A8),XIRR(VSTACK(cf,N(Y8)),VSTACK(dt,TODAY()))),"")</f>
        <v/>
      </c>
      <c r="AF8" s="22">
        <f>IFERROR(LET(cf,FILTER(tblCashFlows[Net Cash Flow],tblCashFlows[Investment ID]=A8),dt,FILTER(tblCashFlows[Transaction Date],tblCashFlows[Investment ID]=A8),XIRR(VSTACK(cf,N(Z8)),VSTACK(dt,TODAY()))),"")</f>
        <v/>
      </c>
    </row>
    <row r="9">
      <c r="A9" s="17" t="inlineStr">
        <is>
          <t>INV-006</t>
        </is>
      </c>
      <c r="B9" s="17" t="inlineStr">
        <is>
          <t>Northshore BioTools</t>
        </is>
      </c>
      <c r="C9" s="17" t="inlineStr">
        <is>
          <t>Life Sciences</t>
        </is>
      </c>
      <c r="D9" s="17" t="inlineStr">
        <is>
          <t>Venture Equity</t>
        </is>
      </c>
      <c r="E9" s="17" t="inlineStr">
        <is>
          <t>Active</t>
        </is>
      </c>
      <c r="F9" s="18" t="n">
        <v>45233</v>
      </c>
      <c r="G9" s="17" t="inlineStr">
        <is>
          <t>Helix Ventures</t>
        </is>
      </c>
      <c r="H9" s="17" t="inlineStr">
        <is>
          <t>United States</t>
        </is>
      </c>
      <c r="I9" s="17" t="inlineStr">
        <is>
          <t>Cost</t>
        </is>
      </c>
      <c r="J9" s="17" t="inlineStr">
        <is>
          <t>Revenue multiple</t>
        </is>
      </c>
      <c r="K9" s="17" t="inlineStr">
        <is>
          <t>Revenue multiple</t>
        </is>
      </c>
      <c r="L9" s="17" t="inlineStr">
        <is>
          <t>N</t>
        </is>
      </c>
      <c r="M9" s="17" t="inlineStr">
        <is>
          <t>Co-invest</t>
        </is>
      </c>
      <c r="N9" s="19" t="n">
        <v>900000</v>
      </c>
      <c r="O9" s="20" t="n">
        <v>0</v>
      </c>
      <c r="P9" s="20" t="n">
        <v>0</v>
      </c>
      <c r="Q9" s="20" t="n">
        <v>0.55</v>
      </c>
      <c r="R9" s="20" t="n">
        <v>0.45</v>
      </c>
      <c r="S9" s="20" t="n">
        <v>0.09</v>
      </c>
      <c r="T9" s="17" t="inlineStr">
        <is>
          <t>Trust-only exposure.</t>
        </is>
      </c>
      <c r="U9" s="17" t="inlineStr">
        <is>
          <t>Diagnostics tools business with strong internal growth expectations.</t>
        </is>
      </c>
      <c r="V9" s="21">
        <f>SUMIFS(tblCashFlows[Contribution Amount],tblCashFlows[Investment ID],A9)</f>
        <v/>
      </c>
      <c r="W9" s="21">
        <f>SUMIFS(tblCashFlows[Distribution Amount],tblCashFlows[Investment ID],A9)</f>
        <v/>
      </c>
      <c r="X9" s="21">
        <f>XLOOKUP(A9,tblOfficialMarks[Investment ID],tblOfficialMarks[New Official Value],0,0,-1)</f>
        <v/>
      </c>
      <c r="Y9" s="21">
        <f>XLOOKUP(A9,tblInternalModel[Investment ID],tblInternalModel[Final Internal Value],0,0,-1)</f>
        <v/>
      </c>
      <c r="Z9" s="21">
        <f>XLOOKUP(A9,tblExitScenarios[Investment ID],tblExitScenarios[Net Exit Value],0,0,-1)</f>
        <v/>
      </c>
      <c r="AA9" s="7">
        <f>IFERROR((W9+X9)/V9,"")</f>
        <v/>
      </c>
      <c r="AB9" s="7">
        <f>IFERROR((W9+Y9)/V9,"")</f>
        <v/>
      </c>
      <c r="AC9" s="7">
        <f>IFERROR((W9+Z9)/V9,"")</f>
        <v/>
      </c>
      <c r="AD9" s="22">
        <f>IFERROR(LET(cf,FILTER(tblCashFlows[Net Cash Flow],tblCashFlows[Investment ID]=A9),dt,FILTER(tblCashFlows[Transaction Date],tblCashFlows[Investment ID]=A9),XIRR(VSTACK(cf,N(X9)),VSTACK(dt,TODAY()))),"")</f>
        <v/>
      </c>
      <c r="AE9" s="22">
        <f>IFERROR(LET(cf,FILTER(tblCashFlows[Net Cash Flow],tblCashFlows[Investment ID]=A9),dt,FILTER(tblCashFlows[Transaction Date],tblCashFlows[Investment ID]=A9),XIRR(VSTACK(cf,N(Y9)),VSTACK(dt,TODAY()))),"")</f>
        <v/>
      </c>
      <c r="AF9" s="22">
        <f>IFERROR(LET(cf,FILTER(tblCashFlows[Net Cash Flow],tblCashFlows[Investment ID]=A9),dt,FILTER(tblCashFlows[Transaction Date],tblCashFlows[Investment ID]=A9),XIRR(VSTACK(cf,N(Z9)),VSTACK(dt,TODAY()))),"")</f>
        <v/>
      </c>
    </row>
    <row r="10">
      <c r="A10" s="17" t="inlineStr">
        <is>
          <t>INV-007</t>
        </is>
      </c>
      <c r="B10" s="17" t="inlineStr">
        <is>
          <t>Ironclad Energy Services</t>
        </is>
      </c>
      <c r="C10" s="17" t="inlineStr">
        <is>
          <t>Energy</t>
        </is>
      </c>
      <c r="D10" s="17" t="inlineStr">
        <is>
          <t>Private Equity</t>
        </is>
      </c>
      <c r="E10" s="17" t="inlineStr">
        <is>
          <t>Written Off</t>
        </is>
      </c>
      <c r="F10" s="18" t="n">
        <v>43202</v>
      </c>
      <c r="G10" s="17" t="inlineStr">
        <is>
          <t>Lone Star Capital</t>
        </is>
      </c>
      <c r="H10" s="17" t="inlineStr">
        <is>
          <t>United States</t>
        </is>
      </c>
      <c r="I10" s="17" t="inlineStr">
        <is>
          <t>Write-down</t>
        </is>
      </c>
      <c r="J10" s="17" t="inlineStr">
        <is>
          <t>Manual override</t>
        </is>
      </c>
      <c r="K10" s="17" t="inlineStr">
        <is>
          <t>Manual override</t>
        </is>
      </c>
      <c r="L10" s="17" t="inlineStr">
        <is>
          <t>N</t>
        </is>
      </c>
      <c r="M10" s="17" t="inlineStr">
        <is>
          <t>Co-invest</t>
        </is>
      </c>
      <c r="N10" s="19" t="n">
        <v>500000</v>
      </c>
      <c r="O10" s="20" t="n">
        <v>0.3</v>
      </c>
      <c r="P10" s="20" t="n">
        <v>0.2</v>
      </c>
      <c r="Q10" s="20" t="n">
        <v>0.25</v>
      </c>
      <c r="R10" s="20" t="n">
        <v>0.25</v>
      </c>
      <c r="S10" s="20" t="n">
        <v>0.03</v>
      </c>
      <c r="T10" s="17" t="inlineStr">
        <is>
          <t>Legacy position retained for historical performance tracking.</t>
        </is>
      </c>
      <c r="U10" s="17" t="inlineStr">
        <is>
          <t>Legacy oilfield services investment marked to zero.</t>
        </is>
      </c>
      <c r="V10" s="21">
        <f>SUMIFS(tblCashFlows[Contribution Amount],tblCashFlows[Investment ID],A10)</f>
        <v/>
      </c>
      <c r="W10" s="21">
        <f>SUMIFS(tblCashFlows[Distribution Amount],tblCashFlows[Investment ID],A10)</f>
        <v/>
      </c>
      <c r="X10" s="21">
        <f>XLOOKUP(A10,tblOfficialMarks[Investment ID],tblOfficialMarks[New Official Value],0,0,-1)</f>
        <v/>
      </c>
      <c r="Y10" s="21">
        <f>XLOOKUP(A10,tblInternalModel[Investment ID],tblInternalModel[Final Internal Value],0,0,-1)</f>
        <v/>
      </c>
      <c r="Z10" s="21">
        <f>XLOOKUP(A10,tblExitScenarios[Investment ID],tblExitScenarios[Net Exit Value],0,0,-1)</f>
        <v/>
      </c>
      <c r="AA10" s="7">
        <f>IFERROR((W10+X10)/V10,"")</f>
        <v/>
      </c>
      <c r="AB10" s="7">
        <f>IFERROR((W10+Y10)/V10,"")</f>
        <v/>
      </c>
      <c r="AC10" s="7">
        <f>IFERROR((W10+Z10)/V10,"")</f>
        <v/>
      </c>
      <c r="AD10" s="22">
        <f>IFERROR(LET(cf,FILTER(tblCashFlows[Net Cash Flow],tblCashFlows[Investment ID]=A10),dt,FILTER(tblCashFlows[Transaction Date],tblCashFlows[Investment ID]=A10),XIRR(VSTACK(cf,N(X10)),VSTACK(dt,TODAY()))),"")</f>
        <v/>
      </c>
      <c r="AE10" s="22">
        <f>IFERROR(LET(cf,FILTER(tblCashFlows[Net Cash Flow],tblCashFlows[Investment ID]=A10),dt,FILTER(tblCashFlows[Transaction Date],tblCashFlows[Investment ID]=A10),XIRR(VSTACK(cf,N(Y10)),VSTACK(dt,TODAY()))),"")</f>
        <v/>
      </c>
      <c r="AF10" s="22">
        <f>IFERROR(LET(cf,FILTER(tblCashFlows[Net Cash Flow],tblCashFlows[Investment ID]=A10),dt,FILTER(tblCashFlows[Transaction Date],tblCashFlows[Investment ID]=A10),XIRR(VSTACK(cf,N(Z10)),VSTACK(dt,TODAY()))),"")</f>
        <v/>
      </c>
    </row>
    <row r="11">
      <c r="A11" s="17" t="inlineStr">
        <is>
          <t>INV-008</t>
        </is>
      </c>
      <c r="B11" s="17" t="inlineStr">
        <is>
          <t>Solstice Payments</t>
        </is>
      </c>
      <c r="C11" s="17" t="inlineStr">
        <is>
          <t>Fintech</t>
        </is>
      </c>
      <c r="D11" s="17" t="inlineStr">
        <is>
          <t>Growth Equity</t>
        </is>
      </c>
      <c r="E11" s="17" t="inlineStr">
        <is>
          <t>Active</t>
        </is>
      </c>
      <c r="F11" s="18" t="n">
        <v>45461</v>
      </c>
      <c r="G11" s="17" t="inlineStr">
        <is>
          <t>Meridian Growth</t>
        </is>
      </c>
      <c r="H11" s="17" t="inlineStr">
        <is>
          <t>Europe</t>
        </is>
      </c>
      <c r="I11" s="17" t="inlineStr">
        <is>
          <t>Priced Round</t>
        </is>
      </c>
      <c r="J11" s="17" t="inlineStr">
        <is>
          <t>Revenue multiple</t>
        </is>
      </c>
      <c r="K11" s="17" t="inlineStr">
        <is>
          <t>Revenue multiple</t>
        </is>
      </c>
      <c r="L11" s="17" t="inlineStr">
        <is>
          <t>N</t>
        </is>
      </c>
      <c r="M11" s="17" t="inlineStr">
        <is>
          <t>Lead</t>
        </is>
      </c>
      <c r="N11" s="19" t="n">
        <v>1750000</v>
      </c>
      <c r="O11" s="20" t="n">
        <v>0.35</v>
      </c>
      <c r="P11" s="20" t="n">
        <v>0.15</v>
      </c>
      <c r="Q11" s="20" t="n">
        <v>0.25</v>
      </c>
      <c r="R11" s="20" t="n">
        <v>0.25</v>
      </c>
      <c r="S11" s="20" t="n">
        <v>0.07000000000000001</v>
      </c>
      <c r="T11" s="17" t="inlineStr">
        <is>
          <t>Recent core growth holding across all entities.</t>
        </is>
      </c>
      <c r="U11" s="17" t="inlineStr">
        <is>
          <t>Cross-border payments platform with scaling margins.</t>
        </is>
      </c>
      <c r="V11" s="21">
        <f>SUMIFS(tblCashFlows[Contribution Amount],tblCashFlows[Investment ID],A11)</f>
        <v/>
      </c>
      <c r="W11" s="21">
        <f>SUMIFS(tblCashFlows[Distribution Amount],tblCashFlows[Investment ID],A11)</f>
        <v/>
      </c>
      <c r="X11" s="21">
        <f>XLOOKUP(A11,tblOfficialMarks[Investment ID],tblOfficialMarks[New Official Value],0,0,-1)</f>
        <v/>
      </c>
      <c r="Y11" s="21">
        <f>XLOOKUP(A11,tblInternalModel[Investment ID],tblInternalModel[Final Internal Value],0,0,-1)</f>
        <v/>
      </c>
      <c r="Z11" s="21">
        <f>XLOOKUP(A11,tblExitScenarios[Investment ID],tblExitScenarios[Net Exit Value],0,0,-1)</f>
        <v/>
      </c>
      <c r="AA11" s="7">
        <f>IFERROR((W11+X11)/V11,"")</f>
        <v/>
      </c>
      <c r="AB11" s="7">
        <f>IFERROR((W11+Y11)/V11,"")</f>
        <v/>
      </c>
      <c r="AC11" s="7">
        <f>IFERROR((W11+Z11)/V11,"")</f>
        <v/>
      </c>
      <c r="AD11" s="22">
        <f>IFERROR(LET(cf,FILTER(tblCashFlows[Net Cash Flow],tblCashFlows[Investment ID]=A11),dt,FILTER(tblCashFlows[Transaction Date],tblCashFlows[Investment ID]=A11),XIRR(VSTACK(cf,N(X11)),VSTACK(dt,TODAY()))),"")</f>
        <v/>
      </c>
      <c r="AE11" s="22">
        <f>IFERROR(LET(cf,FILTER(tblCashFlows[Net Cash Flow],tblCashFlows[Investment ID]=A11),dt,FILTER(tblCashFlows[Transaction Date],tblCashFlows[Investment ID]=A11),XIRR(VSTACK(cf,N(Y11)),VSTACK(dt,TODAY()))),"")</f>
        <v/>
      </c>
      <c r="AF11" s="22">
        <f>IFERROR(LET(cf,FILTER(tblCashFlows[Net Cash Flow],tblCashFlows[Investment ID]=A11),dt,FILTER(tblCashFlows[Transaction Date],tblCashFlows[Investment ID]=A11),XIRR(VSTACK(cf,N(Z11)),VSTACK(dt,TODAY()))),"")</f>
        <v/>
      </c>
    </row>
  </sheetData>
  <autoFilter ref="A3:AF11"/>
  <mergeCells count="2">
    <mergeCell ref="A1:AF1"/>
    <mergeCell ref="A2:AF2"/>
  </mergeCells>
  <dataValidations count="6">
    <dataValidation sqref="E4:E11" showDropDown="0" showInputMessage="0" showErrorMessage="0" allowBlank="0" type="list">
      <formula1>=StatusList</formula1>
    </dataValidation>
    <dataValidation sqref="C4:C11" showDropDown="0" showInputMessage="0" showErrorMessage="0" allowBlank="1" type="list">
      <formula1>=SectorList</formula1>
    </dataValidation>
    <dataValidation sqref="D4:D11" showDropDown="0" showInputMessage="0" showErrorMessage="0" allowBlank="1" type="list">
      <formula1>=AssetTypeList</formula1>
    </dataValidation>
    <dataValidation sqref="I4:K11" showDropDown="0" showInputMessage="0" showErrorMessage="0" allowBlank="1" type="list">
      <formula1>=ValuationMethodList</formula1>
    </dataValidation>
    <dataValidation sqref="L4:L11" showDropDown="0" showInputMessage="0" showErrorMessage="0" allowBlank="1" type="list">
      <formula1>=YesNoList</formula1>
    </dataValidation>
    <dataValidation sqref="M4:M11" showDropDown="0" showInputMessage="0" showErrorMessage="0" allowBlank="1" type="list">
      <formula1>=LeadCoList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8" customWidth="1" min="4" max="4"/>
    <col width="15" customWidth="1" min="5" max="5"/>
    <col width="22" customWidth="1" min="6" max="6"/>
    <col width="24" customWidth="1" min="7" max="7"/>
    <col width="18" customWidth="1" min="8" max="8"/>
    <col width="18" customWidth="1" min="9" max="9"/>
    <col width="15" customWidth="1" min="10" max="10"/>
    <col width="18" customWidth="1" min="11" max="11"/>
    <col width="18" customWidth="1" min="12" max="12"/>
    <col width="24" customWidth="1" min="13" max="13"/>
  </cols>
  <sheetData>
    <row r="1">
      <c r="A1" s="16" t="inlineStr">
        <is>
          <t>Capital Call &amp; Distribution Ledger | Enter one dated cash flow per row</t>
        </is>
      </c>
    </row>
    <row r="2">
      <c r="A2" t="inlineStr">
        <is>
          <t>Capital calls are negative in Net Cash Flow. Distributions are positive. This ledger feeds all XIRR calculations.</t>
        </is>
      </c>
    </row>
    <row r="3">
      <c r="A3" s="6" t="inlineStr">
        <is>
          <t>Transaction ID</t>
        </is>
      </c>
      <c r="B3" s="6" t="inlineStr">
        <is>
          <t>Investment ID</t>
        </is>
      </c>
      <c r="C3" s="6" t="inlineStr">
        <is>
          <t>Investment Name</t>
        </is>
      </c>
      <c r="D3" s="6" t="inlineStr">
        <is>
          <t>Entity</t>
        </is>
      </c>
      <c r="E3" s="6" t="inlineStr">
        <is>
          <t>Transaction Date</t>
        </is>
      </c>
      <c r="F3" s="6" t="inlineStr">
        <is>
          <t>Transaction Type</t>
        </is>
      </c>
      <c r="G3" s="6" t="inlineStr">
        <is>
          <t>Description</t>
        </is>
      </c>
      <c r="H3" s="6" t="inlineStr">
        <is>
          <t>Contribution Amount</t>
        </is>
      </c>
      <c r="I3" s="6" t="inlineStr">
        <is>
          <t>Distribution Amount</t>
        </is>
      </c>
      <c r="J3" s="6" t="inlineStr">
        <is>
          <t>Net Cash Flow</t>
        </is>
      </c>
      <c r="K3" s="6" t="inlineStr">
        <is>
          <t>Realized / Unrealized flag</t>
        </is>
      </c>
      <c r="L3" s="6" t="inlineStr">
        <is>
          <t>Linked valuation date</t>
        </is>
      </c>
      <c r="M3" s="6" t="inlineStr">
        <is>
          <t>Notes</t>
        </is>
      </c>
    </row>
    <row r="4">
      <c r="A4" s="17" t="inlineStr">
        <is>
          <t>TX-001</t>
        </is>
      </c>
      <c r="B4" s="17" t="inlineStr">
        <is>
          <t>INV-001</t>
        </is>
      </c>
      <c r="C4" s="17" t="inlineStr">
        <is>
          <t>Atlas Data Platforms</t>
        </is>
      </c>
      <c r="D4" s="17" t="inlineStr">
        <is>
          <t>Beaman Ventures</t>
        </is>
      </c>
      <c r="E4" s="18" t="n">
        <v>44635</v>
      </c>
      <c r="F4" s="17" t="inlineStr">
        <is>
          <t>Capital Call</t>
        </is>
      </c>
      <c r="G4" s="17" t="inlineStr">
        <is>
          <t>Initial close</t>
        </is>
      </c>
      <c r="H4" s="19" t="n">
        <v>400000</v>
      </c>
      <c r="I4" s="19" t="n">
        <v>0</v>
      </c>
      <c r="J4" s="21">
        <f>IF(H4="",0,-H4)+IF(I4="",0,I4)</f>
        <v/>
      </c>
      <c r="K4" s="17" t="n"/>
      <c r="L4" s="17" t="inlineStr"/>
      <c r="M4" s="17" t="n"/>
    </row>
    <row r="5">
      <c r="A5" s="17" t="inlineStr">
        <is>
          <t>TX-002</t>
        </is>
      </c>
      <c r="B5" s="17" t="inlineStr">
        <is>
          <t>INV-001</t>
        </is>
      </c>
      <c r="C5" s="17" t="inlineStr">
        <is>
          <t>Atlas Data Platforms</t>
        </is>
      </c>
      <c r="D5" s="17" t="inlineStr">
        <is>
          <t>Lee Beaman</t>
        </is>
      </c>
      <c r="E5" s="18" t="n">
        <v>44635</v>
      </c>
      <c r="F5" s="17" t="inlineStr">
        <is>
          <t>Capital Call</t>
        </is>
      </c>
      <c r="G5" s="17" t="inlineStr">
        <is>
          <t>Initial close</t>
        </is>
      </c>
      <c r="H5" s="19" t="n">
        <v>300000</v>
      </c>
      <c r="I5" s="19" t="n">
        <v>0</v>
      </c>
      <c r="J5" s="21">
        <f>IF(H5="",0,-H5)+IF(I5="",0,I5)</f>
        <v/>
      </c>
      <c r="K5" s="17" t="n"/>
      <c r="L5" s="17" t="inlineStr"/>
      <c r="M5" s="17" t="n"/>
    </row>
    <row r="6">
      <c r="A6" s="17" t="inlineStr">
        <is>
          <t>TX-003</t>
        </is>
      </c>
      <c r="B6" s="17" t="inlineStr">
        <is>
          <t>INV-001</t>
        </is>
      </c>
      <c r="C6" s="17" t="inlineStr">
        <is>
          <t>Atlas Data Platforms</t>
        </is>
      </c>
      <c r="D6" s="17" t="inlineStr">
        <is>
          <t>Kat Trust</t>
        </is>
      </c>
      <c r="E6" s="18" t="n">
        <v>44635</v>
      </c>
      <c r="F6" s="17" t="inlineStr">
        <is>
          <t>Capital Call</t>
        </is>
      </c>
      <c r="G6" s="17" t="inlineStr">
        <is>
          <t>Initial close</t>
        </is>
      </c>
      <c r="H6" s="19" t="n">
        <v>200000</v>
      </c>
      <c r="I6" s="19" t="n">
        <v>0</v>
      </c>
      <c r="J6" s="21">
        <f>IF(H6="",0,-H6)+IF(I6="",0,I6)</f>
        <v/>
      </c>
      <c r="K6" s="17" t="n"/>
      <c r="L6" s="17" t="inlineStr"/>
      <c r="M6" s="17" t="n"/>
    </row>
    <row r="7">
      <c r="A7" s="17" t="inlineStr">
        <is>
          <t>TX-004</t>
        </is>
      </c>
      <c r="B7" s="17" t="inlineStr">
        <is>
          <t>INV-001</t>
        </is>
      </c>
      <c r="C7" s="17" t="inlineStr">
        <is>
          <t>Atlas Data Platforms</t>
        </is>
      </c>
      <c r="D7" s="17" t="inlineStr">
        <is>
          <t>Nat Trust</t>
        </is>
      </c>
      <c r="E7" s="18" t="n">
        <v>44635</v>
      </c>
      <c r="F7" s="17" t="inlineStr">
        <is>
          <t>Capital Call</t>
        </is>
      </c>
      <c r="G7" s="17" t="inlineStr">
        <is>
          <t>Initial close</t>
        </is>
      </c>
      <c r="H7" s="19" t="n">
        <v>100000</v>
      </c>
      <c r="I7" s="19" t="n">
        <v>0</v>
      </c>
      <c r="J7" s="21">
        <f>IF(H7="",0,-H7)+IF(I7="",0,I7)</f>
        <v/>
      </c>
      <c r="K7" s="17" t="n"/>
      <c r="L7" s="17" t="inlineStr"/>
      <c r="M7" s="17" t="n"/>
    </row>
    <row r="8">
      <c r="A8" s="17" t="inlineStr">
        <is>
          <t>TX-005</t>
        </is>
      </c>
      <c r="B8" s="17" t="inlineStr">
        <is>
          <t>INV-001</t>
        </is>
      </c>
      <c r="C8" s="17" t="inlineStr">
        <is>
          <t>Atlas Data Platforms</t>
        </is>
      </c>
      <c r="D8" s="17" t="inlineStr">
        <is>
          <t>Beaman Ventures</t>
        </is>
      </c>
      <c r="E8" s="18" t="n">
        <v>45026</v>
      </c>
      <c r="F8" s="17" t="inlineStr">
        <is>
          <t>Capital Call</t>
        </is>
      </c>
      <c r="G8" s="17" t="inlineStr">
        <is>
          <t>Product expansion</t>
        </is>
      </c>
      <c r="H8" s="19" t="n">
        <v>120000</v>
      </c>
      <c r="I8" s="19" t="n">
        <v>0</v>
      </c>
      <c r="J8" s="21">
        <f>IF(H8="",0,-H8)+IF(I8="",0,I8)</f>
        <v/>
      </c>
      <c r="K8" s="17" t="n"/>
      <c r="L8" s="17" t="inlineStr"/>
      <c r="M8" s="17" t="n"/>
    </row>
    <row r="9">
      <c r="A9" s="17" t="inlineStr">
        <is>
          <t>TX-006</t>
        </is>
      </c>
      <c r="B9" s="17" t="inlineStr">
        <is>
          <t>INV-001</t>
        </is>
      </c>
      <c r="C9" s="17" t="inlineStr">
        <is>
          <t>Atlas Data Platforms</t>
        </is>
      </c>
      <c r="D9" s="17" t="inlineStr">
        <is>
          <t>Lee Beaman</t>
        </is>
      </c>
      <c r="E9" s="18" t="n">
        <v>45026</v>
      </c>
      <c r="F9" s="17" t="inlineStr">
        <is>
          <t>Capital Call</t>
        </is>
      </c>
      <c r="G9" s="17" t="inlineStr">
        <is>
          <t>Product expansion</t>
        </is>
      </c>
      <c r="H9" s="19" t="n">
        <v>90000</v>
      </c>
      <c r="I9" s="19" t="n">
        <v>0</v>
      </c>
      <c r="J9" s="21">
        <f>IF(H9="",0,-H9)+IF(I9="",0,I9)</f>
        <v/>
      </c>
      <c r="K9" s="17" t="n"/>
      <c r="L9" s="17" t="inlineStr"/>
      <c r="M9" s="17" t="n"/>
    </row>
    <row r="10">
      <c r="A10" s="17" t="inlineStr">
        <is>
          <t>TX-007</t>
        </is>
      </c>
      <c r="B10" s="17" t="inlineStr">
        <is>
          <t>INV-001</t>
        </is>
      </c>
      <c r="C10" s="17" t="inlineStr">
        <is>
          <t>Atlas Data Platforms</t>
        </is>
      </c>
      <c r="D10" s="17" t="inlineStr">
        <is>
          <t>Kat Trust</t>
        </is>
      </c>
      <c r="E10" s="18" t="n">
        <v>45026</v>
      </c>
      <c r="F10" s="17" t="inlineStr">
        <is>
          <t>Capital Call</t>
        </is>
      </c>
      <c r="G10" s="17" t="inlineStr">
        <is>
          <t>Product expansion</t>
        </is>
      </c>
      <c r="H10" s="19" t="n">
        <v>60000</v>
      </c>
      <c r="I10" s="19" t="n">
        <v>0</v>
      </c>
      <c r="J10" s="21">
        <f>IF(H10="",0,-H10)+IF(I10="",0,I10)</f>
        <v/>
      </c>
      <c r="K10" s="17" t="n"/>
      <c r="L10" s="17" t="inlineStr"/>
      <c r="M10" s="17" t="n"/>
    </row>
    <row r="11">
      <c r="A11" s="17" t="inlineStr">
        <is>
          <t>TX-008</t>
        </is>
      </c>
      <c r="B11" s="17" t="inlineStr">
        <is>
          <t>INV-001</t>
        </is>
      </c>
      <c r="C11" s="17" t="inlineStr">
        <is>
          <t>Atlas Data Platforms</t>
        </is>
      </c>
      <c r="D11" s="17" t="inlineStr">
        <is>
          <t>Nat Trust</t>
        </is>
      </c>
      <c r="E11" s="18" t="n">
        <v>45026</v>
      </c>
      <c r="F11" s="17" t="inlineStr">
        <is>
          <t>Capital Call</t>
        </is>
      </c>
      <c r="G11" s="17" t="inlineStr">
        <is>
          <t>Product expansion</t>
        </is>
      </c>
      <c r="H11" s="19" t="n">
        <v>30000</v>
      </c>
      <c r="I11" s="19" t="n">
        <v>0</v>
      </c>
      <c r="J11" s="21">
        <f>IF(H11="",0,-H11)+IF(I11="",0,I11)</f>
        <v/>
      </c>
      <c r="K11" s="17" t="n"/>
      <c r="L11" s="17" t="inlineStr"/>
      <c r="M11" s="17" t="n"/>
    </row>
    <row r="12">
      <c r="A12" s="17" t="inlineStr">
        <is>
          <t>TX-009</t>
        </is>
      </c>
      <c r="B12" s="17" t="inlineStr">
        <is>
          <t>INV-002</t>
        </is>
      </c>
      <c r="C12" s="17" t="inlineStr">
        <is>
          <t>Harbor Health Partners</t>
        </is>
      </c>
      <c r="D12" s="17" t="inlineStr">
        <is>
          <t>Beaman Ventures</t>
        </is>
      </c>
      <c r="E12" s="18" t="n">
        <v>44449</v>
      </c>
      <c r="F12" s="17" t="inlineStr">
        <is>
          <t>Capital Call</t>
        </is>
      </c>
      <c r="G12" s="17" t="inlineStr">
        <is>
          <t>Initial close</t>
        </is>
      </c>
      <c r="H12" s="19" t="n">
        <v>500000</v>
      </c>
      <c r="I12" s="19" t="n">
        <v>0</v>
      </c>
      <c r="J12" s="21">
        <f>IF(H12="",0,-H12)+IF(I12="",0,I12)</f>
        <v/>
      </c>
      <c r="K12" s="17" t="n"/>
      <c r="L12" s="17" t="inlineStr"/>
      <c r="M12" s="17" t="n"/>
    </row>
    <row r="13">
      <c r="A13" s="17" t="inlineStr">
        <is>
          <t>TX-010</t>
        </is>
      </c>
      <c r="B13" s="17" t="inlineStr">
        <is>
          <t>INV-002</t>
        </is>
      </c>
      <c r="C13" s="17" t="inlineStr">
        <is>
          <t>Harbor Health Partners</t>
        </is>
      </c>
      <c r="D13" s="17" t="inlineStr">
        <is>
          <t>Kat Trust</t>
        </is>
      </c>
      <c r="E13" s="18" t="n">
        <v>44449</v>
      </c>
      <c r="F13" s="17" t="inlineStr">
        <is>
          <t>Capital Call</t>
        </is>
      </c>
      <c r="G13" s="17" t="inlineStr">
        <is>
          <t>Initial close</t>
        </is>
      </c>
      <c r="H13" s="19" t="n">
        <v>250000</v>
      </c>
      <c r="I13" s="19" t="n">
        <v>0</v>
      </c>
      <c r="J13" s="21">
        <f>IF(H13="",0,-H13)+IF(I13="",0,I13)</f>
        <v/>
      </c>
      <c r="K13" s="17" t="n"/>
      <c r="L13" s="17" t="inlineStr"/>
      <c r="M13" s="17" t="n"/>
    </row>
    <row r="14">
      <c r="A14" s="17" t="inlineStr">
        <is>
          <t>TX-011</t>
        </is>
      </c>
      <c r="B14" s="17" t="inlineStr">
        <is>
          <t>INV-002</t>
        </is>
      </c>
      <c r="C14" s="17" t="inlineStr">
        <is>
          <t>Harbor Health Partners</t>
        </is>
      </c>
      <c r="D14" s="17" t="inlineStr">
        <is>
          <t>Nat Trust</t>
        </is>
      </c>
      <c r="E14" s="18" t="n">
        <v>44449</v>
      </c>
      <c r="F14" s="17" t="inlineStr">
        <is>
          <t>Capital Call</t>
        </is>
      </c>
      <c r="G14" s="17" t="inlineStr">
        <is>
          <t>Initial close</t>
        </is>
      </c>
      <c r="H14" s="19" t="n">
        <v>250000</v>
      </c>
      <c r="I14" s="19" t="n">
        <v>0</v>
      </c>
      <c r="J14" s="21">
        <f>IF(H14="",0,-H14)+IF(I14="",0,I14)</f>
        <v/>
      </c>
      <c r="K14" s="17" t="n"/>
      <c r="L14" s="17" t="inlineStr"/>
      <c r="M14" s="17" t="n"/>
    </row>
    <row r="15">
      <c r="A15" s="17" t="inlineStr">
        <is>
          <t>TX-012</t>
        </is>
      </c>
      <c r="B15" s="17" t="inlineStr">
        <is>
          <t>INV-002</t>
        </is>
      </c>
      <c r="C15" s="17" t="inlineStr">
        <is>
          <t>Harbor Health Partners</t>
        </is>
      </c>
      <c r="D15" s="17" t="inlineStr">
        <is>
          <t>Beaman Ventures</t>
        </is>
      </c>
      <c r="E15" s="18" t="n">
        <v>44727</v>
      </c>
      <c r="F15" s="17" t="inlineStr">
        <is>
          <t>Capital Call</t>
        </is>
      </c>
      <c r="G15" s="17" t="inlineStr">
        <is>
          <t>Acquisition tuck-in</t>
        </is>
      </c>
      <c r="H15" s="19" t="n">
        <v>250000</v>
      </c>
      <c r="I15" s="19" t="n">
        <v>0</v>
      </c>
      <c r="J15" s="21">
        <f>IF(H15="",0,-H15)+IF(I15="",0,I15)</f>
        <v/>
      </c>
      <c r="K15" s="17" t="n"/>
      <c r="L15" s="17" t="inlineStr"/>
      <c r="M15" s="17" t="n"/>
    </row>
    <row r="16">
      <c r="A16" s="17" t="inlineStr">
        <is>
          <t>TX-013</t>
        </is>
      </c>
      <c r="B16" s="17" t="inlineStr">
        <is>
          <t>INV-002</t>
        </is>
      </c>
      <c r="C16" s="17" t="inlineStr">
        <is>
          <t>Harbor Health Partners</t>
        </is>
      </c>
      <c r="D16" s="17" t="inlineStr">
        <is>
          <t>Kat Trust</t>
        </is>
      </c>
      <c r="E16" s="18" t="n">
        <v>44727</v>
      </c>
      <c r="F16" s="17" t="inlineStr">
        <is>
          <t>Capital Call</t>
        </is>
      </c>
      <c r="G16" s="17" t="inlineStr">
        <is>
          <t>Acquisition tuck-in</t>
        </is>
      </c>
      <c r="H16" s="19" t="n">
        <v>125000</v>
      </c>
      <c r="I16" s="19" t="n">
        <v>0</v>
      </c>
      <c r="J16" s="21">
        <f>IF(H16="",0,-H16)+IF(I16="",0,I16)</f>
        <v/>
      </c>
      <c r="K16" s="17" t="n"/>
      <c r="L16" s="17" t="inlineStr"/>
      <c r="M16" s="17" t="n"/>
    </row>
    <row r="17">
      <c r="A17" s="17" t="inlineStr">
        <is>
          <t>TX-014</t>
        </is>
      </c>
      <c r="B17" s="17" t="inlineStr">
        <is>
          <t>INV-002</t>
        </is>
      </c>
      <c r="C17" s="17" t="inlineStr">
        <is>
          <t>Harbor Health Partners</t>
        </is>
      </c>
      <c r="D17" s="17" t="inlineStr">
        <is>
          <t>Nat Trust</t>
        </is>
      </c>
      <c r="E17" s="18" t="n">
        <v>44727</v>
      </c>
      <c r="F17" s="17" t="inlineStr">
        <is>
          <t>Capital Call</t>
        </is>
      </c>
      <c r="G17" s="17" t="inlineStr">
        <is>
          <t>Acquisition tuck-in</t>
        </is>
      </c>
      <c r="H17" s="19" t="n">
        <v>125000</v>
      </c>
      <c r="I17" s="19" t="n">
        <v>0</v>
      </c>
      <c r="J17" s="21">
        <f>IF(H17="",0,-H17)+IF(I17="",0,I17)</f>
        <v/>
      </c>
      <c r="K17" s="17" t="n"/>
      <c r="L17" s="17" t="inlineStr"/>
      <c r="M17" s="17" t="n"/>
    </row>
    <row r="18">
      <c r="A18" s="17" t="inlineStr">
        <is>
          <t>TX-015</t>
        </is>
      </c>
      <c r="B18" s="17" t="inlineStr">
        <is>
          <t>INV-003</t>
        </is>
      </c>
      <c r="C18" s="17" t="inlineStr">
        <is>
          <t>Summit Robotics</t>
        </is>
      </c>
      <c r="D18" s="17" t="inlineStr">
        <is>
          <t>Lee Beaman</t>
        </is>
      </c>
      <c r="E18" s="18" t="n">
        <v>43956</v>
      </c>
      <c r="F18" s="17" t="inlineStr">
        <is>
          <t>Capital Call</t>
        </is>
      </c>
      <c r="G18" s="17" t="inlineStr">
        <is>
          <t>Initial close</t>
        </is>
      </c>
      <c r="H18" s="19" t="n">
        <v>360000</v>
      </c>
      <c r="I18" s="19" t="n">
        <v>0</v>
      </c>
      <c r="J18" s="21">
        <f>IF(H18="",0,-H18)+IF(I18="",0,I18)</f>
        <v/>
      </c>
      <c r="K18" s="17" t="n"/>
      <c r="L18" s="17" t="inlineStr"/>
      <c r="M18" s="17" t="n"/>
    </row>
    <row r="19">
      <c r="A19" s="17" t="inlineStr">
        <is>
          <t>TX-016</t>
        </is>
      </c>
      <c r="B19" s="17" t="inlineStr">
        <is>
          <t>INV-003</t>
        </is>
      </c>
      <c r="C19" s="17" t="inlineStr">
        <is>
          <t>Summit Robotics</t>
        </is>
      </c>
      <c r="D19" s="17" t="inlineStr">
        <is>
          <t>Nat Trust</t>
        </is>
      </c>
      <c r="E19" s="18" t="n">
        <v>43956</v>
      </c>
      <c r="F19" s="17" t="inlineStr">
        <is>
          <t>Capital Call</t>
        </is>
      </c>
      <c r="G19" s="17" t="inlineStr">
        <is>
          <t>Initial close</t>
        </is>
      </c>
      <c r="H19" s="19" t="n">
        <v>240000</v>
      </c>
      <c r="I19" s="19" t="n">
        <v>0</v>
      </c>
      <c r="J19" s="21">
        <f>IF(H19="",0,-H19)+IF(I19="",0,I19)</f>
        <v/>
      </c>
      <c r="K19" s="17" t="n"/>
      <c r="L19" s="17" t="inlineStr"/>
      <c r="M19" s="17" t="n"/>
    </row>
    <row r="20">
      <c r="A20" s="17" t="inlineStr">
        <is>
          <t>TX-017</t>
        </is>
      </c>
      <c r="B20" s="17" t="inlineStr">
        <is>
          <t>INV-003</t>
        </is>
      </c>
      <c r="C20" s="17" t="inlineStr">
        <is>
          <t>Summit Robotics</t>
        </is>
      </c>
      <c r="D20" s="17" t="inlineStr">
        <is>
          <t>Lee Beaman</t>
        </is>
      </c>
      <c r="E20" s="18" t="n">
        <v>44237</v>
      </c>
      <c r="F20" s="17" t="inlineStr">
        <is>
          <t>Capital Call</t>
        </is>
      </c>
      <c r="G20" s="17" t="inlineStr">
        <is>
          <t>Bridge financing</t>
        </is>
      </c>
      <c r="H20" s="19" t="n">
        <v>120000</v>
      </c>
      <c r="I20" s="19" t="n">
        <v>0</v>
      </c>
      <c r="J20" s="21">
        <f>IF(H20="",0,-H20)+IF(I20="",0,I20)</f>
        <v/>
      </c>
      <c r="K20" s="17" t="n"/>
      <c r="L20" s="17" t="inlineStr"/>
      <c r="M20" s="17" t="n"/>
    </row>
    <row r="21">
      <c r="A21" s="17" t="inlineStr">
        <is>
          <t>TX-018</t>
        </is>
      </c>
      <c r="B21" s="17" t="inlineStr">
        <is>
          <t>INV-003</t>
        </is>
      </c>
      <c r="C21" s="17" t="inlineStr">
        <is>
          <t>Summit Robotics</t>
        </is>
      </c>
      <c r="D21" s="17" t="inlineStr">
        <is>
          <t>Nat Trust</t>
        </is>
      </c>
      <c r="E21" s="18" t="n">
        <v>44237</v>
      </c>
      <c r="F21" s="17" t="inlineStr">
        <is>
          <t>Capital Call</t>
        </is>
      </c>
      <c r="G21" s="17" t="inlineStr">
        <is>
          <t>Bridge financing</t>
        </is>
      </c>
      <c r="H21" s="19" t="n">
        <v>80000</v>
      </c>
      <c r="I21" s="19" t="n">
        <v>0</v>
      </c>
      <c r="J21" s="21">
        <f>IF(H21="",0,-H21)+IF(I21="",0,I21)</f>
        <v/>
      </c>
      <c r="K21" s="17" t="n"/>
      <c r="L21" s="17" t="inlineStr"/>
      <c r="M21" s="17" t="n"/>
    </row>
    <row r="22">
      <c r="A22" s="17" t="inlineStr">
        <is>
          <t>TX-019</t>
        </is>
      </c>
      <c r="B22" s="17" t="inlineStr">
        <is>
          <t>INV-003</t>
        </is>
      </c>
      <c r="C22" s="17" t="inlineStr">
        <is>
          <t>Summit Robotics</t>
        </is>
      </c>
      <c r="D22" s="17" t="inlineStr">
        <is>
          <t>Lee Beaman</t>
        </is>
      </c>
      <c r="E22" s="18" t="n">
        <v>45565</v>
      </c>
      <c r="F22" s="17" t="inlineStr">
        <is>
          <t>Partial Exit</t>
        </is>
      </c>
      <c r="G22" s="17" t="inlineStr">
        <is>
          <t>Secondary sale</t>
        </is>
      </c>
      <c r="H22" s="19" t="n">
        <v>0</v>
      </c>
      <c r="I22" s="19" t="n">
        <v>220000</v>
      </c>
      <c r="J22" s="21">
        <f>IF(H22="",0,-H22)+IF(I22="",0,I22)</f>
        <v/>
      </c>
      <c r="K22" s="18" t="n">
        <v>45565</v>
      </c>
      <c r="L22" s="17" t="inlineStr"/>
      <c r="M22" s="17" t="n"/>
    </row>
    <row r="23">
      <c r="A23" s="17" t="inlineStr">
        <is>
          <t>TX-020</t>
        </is>
      </c>
      <c r="B23" s="17" t="inlineStr">
        <is>
          <t>INV-003</t>
        </is>
      </c>
      <c r="C23" s="17" t="inlineStr">
        <is>
          <t>Summit Robotics</t>
        </is>
      </c>
      <c r="D23" s="17" t="inlineStr">
        <is>
          <t>Nat Trust</t>
        </is>
      </c>
      <c r="E23" s="18" t="n">
        <v>45565</v>
      </c>
      <c r="F23" s="17" t="inlineStr">
        <is>
          <t>Partial Exit</t>
        </is>
      </c>
      <c r="G23" s="17" t="inlineStr">
        <is>
          <t>Secondary sale</t>
        </is>
      </c>
      <c r="H23" s="19" t="n">
        <v>0</v>
      </c>
      <c r="I23" s="19" t="n">
        <v>150000</v>
      </c>
      <c r="J23" s="21">
        <f>IF(H23="",0,-H23)+IF(I23="",0,I23)</f>
        <v/>
      </c>
      <c r="K23" s="18" t="n">
        <v>45565</v>
      </c>
      <c r="L23" s="17" t="inlineStr"/>
      <c r="M23" s="17" t="n"/>
    </row>
    <row r="24">
      <c r="A24" s="17" t="inlineStr">
        <is>
          <t>TX-021</t>
        </is>
      </c>
      <c r="B24" s="17" t="inlineStr">
        <is>
          <t>INV-003</t>
        </is>
      </c>
      <c r="C24" s="17" t="inlineStr">
        <is>
          <t>Summit Robotics</t>
        </is>
      </c>
      <c r="D24" s="17" t="inlineStr">
        <is>
          <t>Lee Beaman</t>
        </is>
      </c>
      <c r="E24" s="18" t="n">
        <v>45703</v>
      </c>
      <c r="F24" s="17" t="inlineStr">
        <is>
          <t>Dividend</t>
        </is>
      </c>
      <c r="G24" s="17" t="inlineStr">
        <is>
          <t>Special dividend</t>
        </is>
      </c>
      <c r="H24" s="19" t="n">
        <v>0</v>
      </c>
      <c r="I24" s="19" t="n">
        <v>30000</v>
      </c>
      <c r="J24" s="21">
        <f>IF(H24="",0,-H24)+IF(I24="",0,I24)</f>
        <v/>
      </c>
      <c r="K24" s="17" t="n"/>
      <c r="L24" s="17" t="inlineStr"/>
      <c r="M24" s="17" t="n"/>
    </row>
    <row r="25">
      <c r="A25" s="17" t="inlineStr">
        <is>
          <t>TX-022</t>
        </is>
      </c>
      <c r="B25" s="17" t="inlineStr">
        <is>
          <t>INV-003</t>
        </is>
      </c>
      <c r="C25" s="17" t="inlineStr">
        <is>
          <t>Summit Robotics</t>
        </is>
      </c>
      <c r="D25" s="17" t="inlineStr">
        <is>
          <t>Nat Trust</t>
        </is>
      </c>
      <c r="E25" s="18" t="n">
        <v>45703</v>
      </c>
      <c r="F25" s="17" t="inlineStr">
        <is>
          <t>Dividend</t>
        </is>
      </c>
      <c r="G25" s="17" t="inlineStr">
        <is>
          <t>Special dividend</t>
        </is>
      </c>
      <c r="H25" s="19" t="n">
        <v>0</v>
      </c>
      <c r="I25" s="19" t="n">
        <v>20000</v>
      </c>
      <c r="J25" s="21">
        <f>IF(H25="",0,-H25)+IF(I25="",0,I25)</f>
        <v/>
      </c>
      <c r="K25" s="17" t="n"/>
      <c r="L25" s="17" t="inlineStr"/>
      <c r="M25" s="17" t="n"/>
    </row>
    <row r="26">
      <c r="A26" s="17" t="inlineStr">
        <is>
          <t>TX-023</t>
        </is>
      </c>
      <c r="B26" s="17" t="inlineStr">
        <is>
          <t>INV-004</t>
        </is>
      </c>
      <c r="C26" s="17" t="inlineStr">
        <is>
          <t>Cedar Credit Fund II</t>
        </is>
      </c>
      <c r="D26" s="17" t="inlineStr">
        <is>
          <t>Beaman Ventures</t>
        </is>
      </c>
      <c r="E26" s="18" t="n">
        <v>44581</v>
      </c>
      <c r="F26" s="17" t="inlineStr">
        <is>
          <t>Capital Call</t>
        </is>
      </c>
      <c r="G26" s="17" t="inlineStr">
        <is>
          <t>Fund drawdown</t>
        </is>
      </c>
      <c r="H26" s="19" t="n">
        <v>150000</v>
      </c>
      <c r="I26" s="19" t="n">
        <v>0</v>
      </c>
      <c r="J26" s="21">
        <f>IF(H26="",0,-H26)+IF(I26="",0,I26)</f>
        <v/>
      </c>
      <c r="K26" s="17" t="n"/>
      <c r="L26" s="17" t="inlineStr"/>
      <c r="M26" s="17" t="n"/>
    </row>
    <row r="27">
      <c r="A27" s="17" t="inlineStr">
        <is>
          <t>TX-024</t>
        </is>
      </c>
      <c r="B27" s="17" t="inlineStr">
        <is>
          <t>INV-004</t>
        </is>
      </c>
      <c r="C27" s="17" t="inlineStr">
        <is>
          <t>Cedar Credit Fund II</t>
        </is>
      </c>
      <c r="D27" s="17" t="inlineStr">
        <is>
          <t>Lee Beaman</t>
        </is>
      </c>
      <c r="E27" s="18" t="n">
        <v>44581</v>
      </c>
      <c r="F27" s="17" t="inlineStr">
        <is>
          <t>Capital Call</t>
        </is>
      </c>
      <c r="G27" s="17" t="inlineStr">
        <is>
          <t>Fund drawdown</t>
        </is>
      </c>
      <c r="H27" s="19" t="n">
        <v>150000</v>
      </c>
      <c r="I27" s="19" t="n">
        <v>0</v>
      </c>
      <c r="J27" s="21">
        <f>IF(H27="",0,-H27)+IF(I27="",0,I27)</f>
        <v/>
      </c>
      <c r="K27" s="17" t="n"/>
      <c r="L27" s="17" t="inlineStr"/>
      <c r="M27" s="17" t="n"/>
    </row>
    <row r="28">
      <c r="A28" s="17" t="inlineStr">
        <is>
          <t>TX-025</t>
        </is>
      </c>
      <c r="B28" s="17" t="inlineStr">
        <is>
          <t>INV-004</t>
        </is>
      </c>
      <c r="C28" s="17" t="inlineStr">
        <is>
          <t>Cedar Credit Fund II</t>
        </is>
      </c>
      <c r="D28" s="17" t="inlineStr">
        <is>
          <t>Kat Trust</t>
        </is>
      </c>
      <c r="E28" s="18" t="n">
        <v>44581</v>
      </c>
      <c r="F28" s="17" t="inlineStr">
        <is>
          <t>Capital Call</t>
        </is>
      </c>
      <c r="G28" s="17" t="inlineStr">
        <is>
          <t>Fund drawdown</t>
        </is>
      </c>
      <c r="H28" s="19" t="n">
        <v>150000</v>
      </c>
      <c r="I28" s="19" t="n">
        <v>0</v>
      </c>
      <c r="J28" s="21">
        <f>IF(H28="",0,-H28)+IF(I28="",0,I28)</f>
        <v/>
      </c>
      <c r="K28" s="17" t="n"/>
      <c r="L28" s="17" t="inlineStr"/>
      <c r="M28" s="17" t="n"/>
    </row>
    <row r="29">
      <c r="A29" s="17" t="inlineStr">
        <is>
          <t>TX-026</t>
        </is>
      </c>
      <c r="B29" s="17" t="inlineStr">
        <is>
          <t>INV-004</t>
        </is>
      </c>
      <c r="C29" s="17" t="inlineStr">
        <is>
          <t>Cedar Credit Fund II</t>
        </is>
      </c>
      <c r="D29" s="17" t="inlineStr">
        <is>
          <t>Nat Trust</t>
        </is>
      </c>
      <c r="E29" s="18" t="n">
        <v>44581</v>
      </c>
      <c r="F29" s="17" t="inlineStr">
        <is>
          <t>Capital Call</t>
        </is>
      </c>
      <c r="G29" s="17" t="inlineStr">
        <is>
          <t>Fund drawdown</t>
        </is>
      </c>
      <c r="H29" s="19" t="n">
        <v>150000</v>
      </c>
      <c r="I29" s="19" t="n">
        <v>0</v>
      </c>
      <c r="J29" s="21">
        <f>IF(H29="",0,-H29)+IF(I29="",0,I29)</f>
        <v/>
      </c>
      <c r="K29" s="17" t="n"/>
      <c r="L29" s="17" t="inlineStr"/>
      <c r="M29" s="17" t="n"/>
    </row>
    <row r="30">
      <c r="A30" s="17" t="inlineStr">
        <is>
          <t>TX-027</t>
        </is>
      </c>
      <c r="B30" s="17" t="inlineStr">
        <is>
          <t>INV-004</t>
        </is>
      </c>
      <c r="C30" s="17" t="inlineStr">
        <is>
          <t>Cedar Credit Fund II</t>
        </is>
      </c>
      <c r="D30" s="17" t="inlineStr">
        <is>
          <t>Beaman Ventures</t>
        </is>
      </c>
      <c r="E30" s="18" t="n">
        <v>44946</v>
      </c>
      <c r="F30" s="17" t="inlineStr">
        <is>
          <t>Capital Call</t>
        </is>
      </c>
      <c r="G30" s="17" t="inlineStr">
        <is>
          <t>Follow-on draw</t>
        </is>
      </c>
      <c r="H30" s="19" t="n">
        <v>100000</v>
      </c>
      <c r="I30" s="19" t="n">
        <v>0</v>
      </c>
      <c r="J30" s="21">
        <f>IF(H30="",0,-H30)+IF(I30="",0,I30)</f>
        <v/>
      </c>
      <c r="K30" s="17" t="n"/>
      <c r="L30" s="17" t="inlineStr"/>
      <c r="M30" s="17" t="n"/>
    </row>
    <row r="31">
      <c r="A31" s="17" t="inlineStr">
        <is>
          <t>TX-028</t>
        </is>
      </c>
      <c r="B31" s="17" t="inlineStr">
        <is>
          <t>INV-004</t>
        </is>
      </c>
      <c r="C31" s="17" t="inlineStr">
        <is>
          <t>Cedar Credit Fund II</t>
        </is>
      </c>
      <c r="D31" s="17" t="inlineStr">
        <is>
          <t>Lee Beaman</t>
        </is>
      </c>
      <c r="E31" s="18" t="n">
        <v>44946</v>
      </c>
      <c r="F31" s="17" t="inlineStr">
        <is>
          <t>Capital Call</t>
        </is>
      </c>
      <c r="G31" s="17" t="inlineStr">
        <is>
          <t>Follow-on draw</t>
        </is>
      </c>
      <c r="H31" s="19" t="n">
        <v>100000</v>
      </c>
      <c r="I31" s="19" t="n">
        <v>0</v>
      </c>
      <c r="J31" s="21">
        <f>IF(H31="",0,-H31)+IF(I31="",0,I31)</f>
        <v/>
      </c>
      <c r="K31" s="17" t="n"/>
      <c r="L31" s="17" t="inlineStr"/>
      <c r="M31" s="17" t="n"/>
    </row>
    <row r="32">
      <c r="A32" s="17" t="inlineStr">
        <is>
          <t>TX-029</t>
        </is>
      </c>
      <c r="B32" s="17" t="inlineStr">
        <is>
          <t>INV-004</t>
        </is>
      </c>
      <c r="C32" s="17" t="inlineStr">
        <is>
          <t>Cedar Credit Fund II</t>
        </is>
      </c>
      <c r="D32" s="17" t="inlineStr">
        <is>
          <t>Kat Trust</t>
        </is>
      </c>
      <c r="E32" s="18" t="n">
        <v>44946</v>
      </c>
      <c r="F32" s="17" t="inlineStr">
        <is>
          <t>Capital Call</t>
        </is>
      </c>
      <c r="G32" s="17" t="inlineStr">
        <is>
          <t>Follow-on draw</t>
        </is>
      </c>
      <c r="H32" s="19" t="n">
        <v>100000</v>
      </c>
      <c r="I32" s="19" t="n">
        <v>0</v>
      </c>
      <c r="J32" s="21">
        <f>IF(H32="",0,-H32)+IF(I32="",0,I32)</f>
        <v/>
      </c>
      <c r="K32" s="17" t="n"/>
      <c r="L32" s="17" t="inlineStr"/>
      <c r="M32" s="17" t="n"/>
    </row>
    <row r="33">
      <c r="A33" s="17" t="inlineStr">
        <is>
          <t>TX-030</t>
        </is>
      </c>
      <c r="B33" s="17" t="inlineStr">
        <is>
          <t>INV-004</t>
        </is>
      </c>
      <c r="C33" s="17" t="inlineStr">
        <is>
          <t>Cedar Credit Fund II</t>
        </is>
      </c>
      <c r="D33" s="17" t="inlineStr">
        <is>
          <t>Nat Trust</t>
        </is>
      </c>
      <c r="E33" s="18" t="n">
        <v>44946</v>
      </c>
      <c r="F33" s="17" t="inlineStr">
        <is>
          <t>Capital Call</t>
        </is>
      </c>
      <c r="G33" s="17" t="inlineStr">
        <is>
          <t>Follow-on draw</t>
        </is>
      </c>
      <c r="H33" s="19" t="n">
        <v>100000</v>
      </c>
      <c r="I33" s="19" t="n">
        <v>0</v>
      </c>
      <c r="J33" s="21">
        <f>IF(H33="",0,-H33)+IF(I33="",0,I33)</f>
        <v/>
      </c>
      <c r="K33" s="17" t="n"/>
      <c r="L33" s="17" t="inlineStr"/>
      <c r="M33" s="17" t="n"/>
    </row>
    <row r="34">
      <c r="A34" s="17" t="inlineStr">
        <is>
          <t>TX-031</t>
        </is>
      </c>
      <c r="B34" s="17" t="inlineStr">
        <is>
          <t>INV-004</t>
        </is>
      </c>
      <c r="C34" s="17" t="inlineStr">
        <is>
          <t>Cedar Credit Fund II</t>
        </is>
      </c>
      <c r="D34" s="17" t="inlineStr">
        <is>
          <t>Beaman Ventures</t>
        </is>
      </c>
      <c r="E34" s="18" t="n">
        <v>45641</v>
      </c>
      <c r="F34" s="17" t="inlineStr">
        <is>
          <t>Distribution</t>
        </is>
      </c>
      <c r="G34" s="17" t="inlineStr">
        <is>
          <t>Quarterly distribution</t>
        </is>
      </c>
      <c r="H34" s="19" t="n">
        <v>0</v>
      </c>
      <c r="I34" s="19" t="n">
        <v>40000</v>
      </c>
      <c r="J34" s="21">
        <f>IF(H34="",0,-H34)+IF(I34="",0,I34)</f>
        <v/>
      </c>
      <c r="K34" s="17" t="n"/>
      <c r="L34" s="17" t="inlineStr"/>
      <c r="M34" s="17" t="n"/>
    </row>
    <row r="35">
      <c r="A35" s="17" t="inlineStr">
        <is>
          <t>TX-032</t>
        </is>
      </c>
      <c r="B35" s="17" t="inlineStr">
        <is>
          <t>INV-004</t>
        </is>
      </c>
      <c r="C35" s="17" t="inlineStr">
        <is>
          <t>Cedar Credit Fund II</t>
        </is>
      </c>
      <c r="D35" s="17" t="inlineStr">
        <is>
          <t>Lee Beaman</t>
        </is>
      </c>
      <c r="E35" s="18" t="n">
        <v>45641</v>
      </c>
      <c r="F35" s="17" t="inlineStr">
        <is>
          <t>Distribution</t>
        </is>
      </c>
      <c r="G35" s="17" t="inlineStr">
        <is>
          <t>Quarterly distribution</t>
        </is>
      </c>
      <c r="H35" s="19" t="n">
        <v>0</v>
      </c>
      <c r="I35" s="19" t="n">
        <v>40000</v>
      </c>
      <c r="J35" s="21">
        <f>IF(H35="",0,-H35)+IF(I35="",0,I35)</f>
        <v/>
      </c>
      <c r="K35" s="17" t="n"/>
      <c r="L35" s="17" t="inlineStr"/>
      <c r="M35" s="17" t="n"/>
    </row>
    <row r="36">
      <c r="A36" s="17" t="inlineStr">
        <is>
          <t>TX-033</t>
        </is>
      </c>
      <c r="B36" s="17" t="inlineStr">
        <is>
          <t>INV-004</t>
        </is>
      </c>
      <c r="C36" s="17" t="inlineStr">
        <is>
          <t>Cedar Credit Fund II</t>
        </is>
      </c>
      <c r="D36" s="17" t="inlineStr">
        <is>
          <t>Kat Trust</t>
        </is>
      </c>
      <c r="E36" s="18" t="n">
        <v>45641</v>
      </c>
      <c r="F36" s="17" t="inlineStr">
        <is>
          <t>Distribution</t>
        </is>
      </c>
      <c r="G36" s="17" t="inlineStr">
        <is>
          <t>Quarterly distribution</t>
        </is>
      </c>
      <c r="H36" s="19" t="n">
        <v>0</v>
      </c>
      <c r="I36" s="19" t="n">
        <v>40000</v>
      </c>
      <c r="J36" s="21">
        <f>IF(H36="",0,-H36)+IF(I36="",0,I36)</f>
        <v/>
      </c>
      <c r="K36" s="17" t="n"/>
      <c r="L36" s="17" t="inlineStr"/>
      <c r="M36" s="17" t="n"/>
    </row>
    <row r="37">
      <c r="A37" s="17" t="inlineStr">
        <is>
          <t>TX-034</t>
        </is>
      </c>
      <c r="B37" s="17" t="inlineStr">
        <is>
          <t>INV-004</t>
        </is>
      </c>
      <c r="C37" s="17" t="inlineStr">
        <is>
          <t>Cedar Credit Fund II</t>
        </is>
      </c>
      <c r="D37" s="17" t="inlineStr">
        <is>
          <t>Nat Trust</t>
        </is>
      </c>
      <c r="E37" s="18" t="n">
        <v>45641</v>
      </c>
      <c r="F37" s="17" t="inlineStr">
        <is>
          <t>Distribution</t>
        </is>
      </c>
      <c r="G37" s="17" t="inlineStr">
        <is>
          <t>Quarterly distribution</t>
        </is>
      </c>
      <c r="H37" s="19" t="n">
        <v>0</v>
      </c>
      <c r="I37" s="19" t="n">
        <v>40000</v>
      </c>
      <c r="J37" s="21">
        <f>IF(H37="",0,-H37)+IF(I37="",0,I37)</f>
        <v/>
      </c>
      <c r="K37" s="17" t="n"/>
      <c r="L37" s="17" t="inlineStr"/>
      <c r="M37" s="17" t="n"/>
    </row>
    <row r="38">
      <c r="A38" s="17" t="inlineStr">
        <is>
          <t>TX-035</t>
        </is>
      </c>
      <c r="B38" s="17" t="inlineStr">
        <is>
          <t>INV-005</t>
        </is>
      </c>
      <c r="C38" s="17" t="inlineStr">
        <is>
          <t>Meridian Consumer Holdings</t>
        </is>
      </c>
      <c r="D38" s="17" t="inlineStr">
        <is>
          <t>Beaman Ventures</t>
        </is>
      </c>
      <c r="E38" s="18" t="n">
        <v>43647</v>
      </c>
      <c r="F38" s="17" t="inlineStr">
        <is>
          <t>Capital Call</t>
        </is>
      </c>
      <c r="G38" s="17" t="inlineStr">
        <is>
          <t>Initial close</t>
        </is>
      </c>
      <c r="H38" s="19" t="n">
        <v>450000</v>
      </c>
      <c r="I38" s="19" t="n">
        <v>0</v>
      </c>
      <c r="J38" s="21">
        <f>IF(H38="",0,-H38)+IF(I38="",0,I38)</f>
        <v/>
      </c>
      <c r="K38" s="17" t="n"/>
      <c r="L38" s="17" t="inlineStr"/>
      <c r="M38" s="17" t="n"/>
    </row>
    <row r="39">
      <c r="A39" s="17" t="inlineStr">
        <is>
          <t>TX-036</t>
        </is>
      </c>
      <c r="B39" s="17" t="inlineStr">
        <is>
          <t>INV-005</t>
        </is>
      </c>
      <c r="C39" s="17" t="inlineStr">
        <is>
          <t>Meridian Consumer Holdings</t>
        </is>
      </c>
      <c r="D39" s="17" t="inlineStr">
        <is>
          <t>Lee Beaman</t>
        </is>
      </c>
      <c r="E39" s="18" t="n">
        <v>43647</v>
      </c>
      <c r="F39" s="17" t="inlineStr">
        <is>
          <t>Capital Call</t>
        </is>
      </c>
      <c r="G39" s="17" t="inlineStr">
        <is>
          <t>Initial close</t>
        </is>
      </c>
      <c r="H39" s="19" t="n">
        <v>350000</v>
      </c>
      <c r="I39" s="19" t="n">
        <v>0</v>
      </c>
      <c r="J39" s="21">
        <f>IF(H39="",0,-H39)+IF(I39="",0,I39)</f>
        <v/>
      </c>
      <c r="K39" s="17" t="n"/>
      <c r="L39" s="17" t="inlineStr"/>
      <c r="M39" s="17" t="n"/>
    </row>
    <row r="40">
      <c r="A40" s="17" t="inlineStr">
        <is>
          <t>TX-037</t>
        </is>
      </c>
      <c r="B40" s="17" t="inlineStr">
        <is>
          <t>INV-005</t>
        </is>
      </c>
      <c r="C40" s="17" t="inlineStr">
        <is>
          <t>Meridian Consumer Holdings</t>
        </is>
      </c>
      <c r="D40" s="17" t="inlineStr">
        <is>
          <t>Kat Trust</t>
        </is>
      </c>
      <c r="E40" s="18" t="n">
        <v>43647</v>
      </c>
      <c r="F40" s="17" t="inlineStr">
        <is>
          <t>Capital Call</t>
        </is>
      </c>
      <c r="G40" s="17" t="inlineStr">
        <is>
          <t>Initial close</t>
        </is>
      </c>
      <c r="H40" s="19" t="n">
        <v>200000</v>
      </c>
      <c r="I40" s="19" t="n">
        <v>0</v>
      </c>
      <c r="J40" s="21">
        <f>IF(H40="",0,-H40)+IF(I40="",0,I40)</f>
        <v/>
      </c>
      <c r="K40" s="17" t="n"/>
      <c r="L40" s="17" t="inlineStr"/>
      <c r="M40" s="17" t="n"/>
    </row>
    <row r="41">
      <c r="A41" s="17" t="inlineStr">
        <is>
          <t>TX-038</t>
        </is>
      </c>
      <c r="B41" s="17" t="inlineStr">
        <is>
          <t>INV-005</t>
        </is>
      </c>
      <c r="C41" s="17" t="inlineStr">
        <is>
          <t>Meridian Consumer Holdings</t>
        </is>
      </c>
      <c r="D41" s="17" t="inlineStr">
        <is>
          <t>Beaman Ventures</t>
        </is>
      </c>
      <c r="E41" s="18" t="n">
        <v>44561</v>
      </c>
      <c r="F41" s="17" t="inlineStr">
        <is>
          <t>Full Exit</t>
        </is>
      </c>
      <c r="G41" s="17" t="inlineStr">
        <is>
          <t>Sale to strategic buyer</t>
        </is>
      </c>
      <c r="H41" s="19" t="n">
        <v>0</v>
      </c>
      <c r="I41" s="19" t="n">
        <v>900000</v>
      </c>
      <c r="J41" s="21">
        <f>IF(H41="",0,-H41)+IF(I41="",0,I41)</f>
        <v/>
      </c>
      <c r="K41" s="18" t="n">
        <v>44561</v>
      </c>
      <c r="L41" s="17" t="inlineStr"/>
      <c r="M41" s="17" t="n"/>
    </row>
    <row r="42">
      <c r="A42" s="17" t="inlineStr">
        <is>
          <t>TX-039</t>
        </is>
      </c>
      <c r="B42" s="17" t="inlineStr">
        <is>
          <t>INV-005</t>
        </is>
      </c>
      <c r="C42" s="17" t="inlineStr">
        <is>
          <t>Meridian Consumer Holdings</t>
        </is>
      </c>
      <c r="D42" s="17" t="inlineStr">
        <is>
          <t>Lee Beaman</t>
        </is>
      </c>
      <c r="E42" s="18" t="n">
        <v>44561</v>
      </c>
      <c r="F42" s="17" t="inlineStr">
        <is>
          <t>Full Exit</t>
        </is>
      </c>
      <c r="G42" s="17" t="inlineStr">
        <is>
          <t>Sale to strategic buyer</t>
        </is>
      </c>
      <c r="H42" s="19" t="n">
        <v>0</v>
      </c>
      <c r="I42" s="19" t="n">
        <v>700000</v>
      </c>
      <c r="J42" s="21">
        <f>IF(H42="",0,-H42)+IF(I42="",0,I42)</f>
        <v/>
      </c>
      <c r="K42" s="18" t="n">
        <v>44561</v>
      </c>
      <c r="L42" s="17" t="inlineStr"/>
      <c r="M42" s="17" t="n"/>
    </row>
    <row r="43">
      <c r="A43" s="17" t="inlineStr">
        <is>
          <t>TX-040</t>
        </is>
      </c>
      <c r="B43" s="17" t="inlineStr">
        <is>
          <t>INV-005</t>
        </is>
      </c>
      <c r="C43" s="17" t="inlineStr">
        <is>
          <t>Meridian Consumer Holdings</t>
        </is>
      </c>
      <c r="D43" s="17" t="inlineStr">
        <is>
          <t>Kat Trust</t>
        </is>
      </c>
      <c r="E43" s="18" t="n">
        <v>44561</v>
      </c>
      <c r="F43" s="17" t="inlineStr">
        <is>
          <t>Full Exit</t>
        </is>
      </c>
      <c r="G43" s="17" t="inlineStr">
        <is>
          <t>Sale to strategic buyer</t>
        </is>
      </c>
      <c r="H43" s="19" t="n">
        <v>0</v>
      </c>
      <c r="I43" s="19" t="n">
        <v>400000</v>
      </c>
      <c r="J43" s="21">
        <f>IF(H43="",0,-H43)+IF(I43="",0,I43)</f>
        <v/>
      </c>
      <c r="K43" s="18" t="n">
        <v>44561</v>
      </c>
      <c r="L43" s="17" t="inlineStr"/>
      <c r="M43" s="17" t="n"/>
    </row>
    <row r="44">
      <c r="A44" s="17" t="inlineStr">
        <is>
          <t>TX-041</t>
        </is>
      </c>
      <c r="B44" s="17" t="inlineStr">
        <is>
          <t>INV-006</t>
        </is>
      </c>
      <c r="C44" s="17" t="inlineStr">
        <is>
          <t>Northshore BioTools</t>
        </is>
      </c>
      <c r="D44" s="17" t="inlineStr">
        <is>
          <t>Kat Trust</t>
        </is>
      </c>
      <c r="E44" s="18" t="n">
        <v>45233</v>
      </c>
      <c r="F44" s="17" t="inlineStr">
        <is>
          <t>Capital Call</t>
        </is>
      </c>
      <c r="G44" s="17" t="inlineStr">
        <is>
          <t>Series B</t>
        </is>
      </c>
      <c r="H44" s="19" t="n">
        <v>330000</v>
      </c>
      <c r="I44" s="19" t="n">
        <v>0</v>
      </c>
      <c r="J44" s="21">
        <f>IF(H44="",0,-H44)+IF(I44="",0,I44)</f>
        <v/>
      </c>
      <c r="K44" s="17" t="n"/>
      <c r="L44" s="17" t="inlineStr"/>
      <c r="M44" s="17" t="n"/>
    </row>
    <row r="45">
      <c r="A45" s="17" t="inlineStr">
        <is>
          <t>TX-042</t>
        </is>
      </c>
      <c r="B45" s="17" t="inlineStr">
        <is>
          <t>INV-006</t>
        </is>
      </c>
      <c r="C45" s="17" t="inlineStr">
        <is>
          <t>Northshore BioTools</t>
        </is>
      </c>
      <c r="D45" s="17" t="inlineStr">
        <is>
          <t>Nat Trust</t>
        </is>
      </c>
      <c r="E45" s="18" t="n">
        <v>45233</v>
      </c>
      <c r="F45" s="17" t="inlineStr">
        <is>
          <t>Capital Call</t>
        </is>
      </c>
      <c r="G45" s="17" t="inlineStr">
        <is>
          <t>Series B</t>
        </is>
      </c>
      <c r="H45" s="19" t="n">
        <v>270000</v>
      </c>
      <c r="I45" s="19" t="n">
        <v>0</v>
      </c>
      <c r="J45" s="21">
        <f>IF(H45="",0,-H45)+IF(I45="",0,I45)</f>
        <v/>
      </c>
      <c r="K45" s="17" t="n"/>
      <c r="L45" s="17" t="inlineStr"/>
      <c r="M45" s="17" t="n"/>
    </row>
    <row r="46">
      <c r="A46" s="17" t="inlineStr">
        <is>
          <t>TX-043</t>
        </is>
      </c>
      <c r="B46" s="17" t="inlineStr">
        <is>
          <t>INV-006</t>
        </is>
      </c>
      <c r="C46" s="17" t="inlineStr">
        <is>
          <t>Northshore BioTools</t>
        </is>
      </c>
      <c r="D46" s="17" t="inlineStr">
        <is>
          <t>Kat Trust</t>
        </is>
      </c>
      <c r="E46" s="18" t="n">
        <v>45580</v>
      </c>
      <c r="F46" s="17" t="inlineStr">
        <is>
          <t>Capital Call</t>
        </is>
      </c>
      <c r="G46" s="17" t="inlineStr">
        <is>
          <t>Extension round</t>
        </is>
      </c>
      <c r="H46" s="19" t="n">
        <v>110000</v>
      </c>
      <c r="I46" s="19" t="n">
        <v>0</v>
      </c>
      <c r="J46" s="21">
        <f>IF(H46="",0,-H46)+IF(I46="",0,I46)</f>
        <v/>
      </c>
      <c r="K46" s="17" t="n"/>
      <c r="L46" s="17" t="inlineStr"/>
      <c r="M46" s="17" t="n"/>
    </row>
    <row r="47">
      <c r="A47" s="17" t="inlineStr">
        <is>
          <t>TX-044</t>
        </is>
      </c>
      <c r="B47" s="17" t="inlineStr">
        <is>
          <t>INV-006</t>
        </is>
      </c>
      <c r="C47" s="17" t="inlineStr">
        <is>
          <t>Northshore BioTools</t>
        </is>
      </c>
      <c r="D47" s="17" t="inlineStr">
        <is>
          <t>Nat Trust</t>
        </is>
      </c>
      <c r="E47" s="18" t="n">
        <v>45580</v>
      </c>
      <c r="F47" s="17" t="inlineStr">
        <is>
          <t>Capital Call</t>
        </is>
      </c>
      <c r="G47" s="17" t="inlineStr">
        <is>
          <t>Extension round</t>
        </is>
      </c>
      <c r="H47" s="19" t="n">
        <v>90000</v>
      </c>
      <c r="I47" s="19" t="n">
        <v>0</v>
      </c>
      <c r="J47" s="21">
        <f>IF(H47="",0,-H47)+IF(I47="",0,I47)</f>
        <v/>
      </c>
      <c r="K47" s="17" t="n"/>
      <c r="L47" s="17" t="inlineStr"/>
      <c r="M47" s="17" t="n"/>
    </row>
    <row r="48">
      <c r="A48" s="17" t="inlineStr">
        <is>
          <t>TX-045</t>
        </is>
      </c>
      <c r="B48" s="17" t="inlineStr">
        <is>
          <t>INV-007</t>
        </is>
      </c>
      <c r="C48" s="17" t="inlineStr">
        <is>
          <t>Ironclad Energy Services</t>
        </is>
      </c>
      <c r="D48" s="17" t="inlineStr">
        <is>
          <t>Beaman Ventures</t>
        </is>
      </c>
      <c r="E48" s="18" t="n">
        <v>43202</v>
      </c>
      <c r="F48" s="17" t="inlineStr">
        <is>
          <t>Capital Call</t>
        </is>
      </c>
      <c r="G48" s="17" t="inlineStr">
        <is>
          <t>Initial close</t>
        </is>
      </c>
      <c r="H48" s="19" t="n">
        <v>120000</v>
      </c>
      <c r="I48" s="19" t="n">
        <v>0</v>
      </c>
      <c r="J48" s="21">
        <f>IF(H48="",0,-H48)+IF(I48="",0,I48)</f>
        <v/>
      </c>
      <c r="K48" s="17" t="n"/>
      <c r="L48" s="17" t="inlineStr"/>
      <c r="M48" s="17" t="n"/>
    </row>
    <row r="49">
      <c r="A49" s="17" t="inlineStr">
        <is>
          <t>TX-046</t>
        </is>
      </c>
      <c r="B49" s="17" t="inlineStr">
        <is>
          <t>INV-007</t>
        </is>
      </c>
      <c r="C49" s="17" t="inlineStr">
        <is>
          <t>Ironclad Energy Services</t>
        </is>
      </c>
      <c r="D49" s="17" t="inlineStr">
        <is>
          <t>Lee Beaman</t>
        </is>
      </c>
      <c r="E49" s="18" t="n">
        <v>43202</v>
      </c>
      <c r="F49" s="17" t="inlineStr">
        <is>
          <t>Capital Call</t>
        </is>
      </c>
      <c r="G49" s="17" t="inlineStr">
        <is>
          <t>Initial close</t>
        </is>
      </c>
      <c r="H49" s="19" t="n">
        <v>80000</v>
      </c>
      <c r="I49" s="19" t="n">
        <v>0</v>
      </c>
      <c r="J49" s="21">
        <f>IF(H49="",0,-H49)+IF(I49="",0,I49)</f>
        <v/>
      </c>
      <c r="K49" s="17" t="n"/>
      <c r="L49" s="17" t="inlineStr"/>
      <c r="M49" s="17" t="n"/>
    </row>
    <row r="50">
      <c r="A50" s="17" t="inlineStr">
        <is>
          <t>TX-047</t>
        </is>
      </c>
      <c r="B50" s="17" t="inlineStr">
        <is>
          <t>INV-007</t>
        </is>
      </c>
      <c r="C50" s="17" t="inlineStr">
        <is>
          <t>Ironclad Energy Services</t>
        </is>
      </c>
      <c r="D50" s="17" t="inlineStr">
        <is>
          <t>Kat Trust</t>
        </is>
      </c>
      <c r="E50" s="18" t="n">
        <v>43202</v>
      </c>
      <c r="F50" s="17" t="inlineStr">
        <is>
          <t>Capital Call</t>
        </is>
      </c>
      <c r="G50" s="17" t="inlineStr">
        <is>
          <t>Initial close</t>
        </is>
      </c>
      <c r="H50" s="19" t="n">
        <v>100000</v>
      </c>
      <c r="I50" s="19" t="n">
        <v>0</v>
      </c>
      <c r="J50" s="21">
        <f>IF(H50="",0,-H50)+IF(I50="",0,I50)</f>
        <v/>
      </c>
      <c r="K50" s="17" t="n"/>
      <c r="L50" s="17" t="inlineStr"/>
      <c r="M50" s="17" t="n"/>
    </row>
    <row r="51">
      <c r="A51" s="17" t="inlineStr">
        <is>
          <t>TX-048</t>
        </is>
      </c>
      <c r="B51" s="17" t="inlineStr">
        <is>
          <t>INV-007</t>
        </is>
      </c>
      <c r="C51" s="17" t="inlineStr">
        <is>
          <t>Ironclad Energy Services</t>
        </is>
      </c>
      <c r="D51" s="17" t="inlineStr">
        <is>
          <t>Nat Trust</t>
        </is>
      </c>
      <c r="E51" s="18" t="n">
        <v>43202</v>
      </c>
      <c r="F51" s="17" t="inlineStr">
        <is>
          <t>Capital Call</t>
        </is>
      </c>
      <c r="G51" s="17" t="inlineStr">
        <is>
          <t>Initial close</t>
        </is>
      </c>
      <c r="H51" s="19" t="n">
        <v>100000</v>
      </c>
      <c r="I51" s="19" t="n">
        <v>0</v>
      </c>
      <c r="J51" s="21">
        <f>IF(H51="",0,-H51)+IF(I51="",0,I51)</f>
        <v/>
      </c>
      <c r="K51" s="17" t="n"/>
      <c r="L51" s="17" t="inlineStr"/>
      <c r="M51" s="17" t="n"/>
    </row>
    <row r="52">
      <c r="A52" s="17" t="inlineStr">
        <is>
          <t>TX-049</t>
        </is>
      </c>
      <c r="B52" s="17" t="inlineStr">
        <is>
          <t>INV-008</t>
        </is>
      </c>
      <c r="C52" s="17" t="inlineStr">
        <is>
          <t>Solstice Payments</t>
        </is>
      </c>
      <c r="D52" s="17" t="inlineStr">
        <is>
          <t>Beaman Ventures</t>
        </is>
      </c>
      <c r="E52" s="18" t="n">
        <v>45461</v>
      </c>
      <c r="F52" s="17" t="inlineStr">
        <is>
          <t>Capital Call</t>
        </is>
      </c>
      <c r="G52" s="17" t="inlineStr">
        <is>
          <t>Series C</t>
        </is>
      </c>
      <c r="H52" s="19" t="n">
        <v>280000</v>
      </c>
      <c r="I52" s="19" t="n">
        <v>0</v>
      </c>
      <c r="J52" s="21">
        <f>IF(H52="",0,-H52)+IF(I52="",0,I52)</f>
        <v/>
      </c>
      <c r="K52" s="17" t="n"/>
      <c r="L52" s="17" t="inlineStr"/>
      <c r="M52" s="17" t="n"/>
    </row>
    <row r="53">
      <c r="A53" s="17" t="inlineStr">
        <is>
          <t>TX-050</t>
        </is>
      </c>
      <c r="B53" s="17" t="inlineStr">
        <is>
          <t>INV-008</t>
        </is>
      </c>
      <c r="C53" s="17" t="inlineStr">
        <is>
          <t>Solstice Payments</t>
        </is>
      </c>
      <c r="D53" s="17" t="inlineStr">
        <is>
          <t>Lee Beaman</t>
        </is>
      </c>
      <c r="E53" s="18" t="n">
        <v>45461</v>
      </c>
      <c r="F53" s="17" t="inlineStr">
        <is>
          <t>Capital Call</t>
        </is>
      </c>
      <c r="G53" s="17" t="inlineStr">
        <is>
          <t>Series C</t>
        </is>
      </c>
      <c r="H53" s="19" t="n">
        <v>120000</v>
      </c>
      <c r="I53" s="19" t="n">
        <v>0</v>
      </c>
      <c r="J53" s="21">
        <f>IF(H53="",0,-H53)+IF(I53="",0,I53)</f>
        <v/>
      </c>
      <c r="K53" s="17" t="n"/>
      <c r="L53" s="17" t="inlineStr"/>
      <c r="M53" s="17" t="n"/>
    </row>
    <row r="54">
      <c r="A54" s="17" t="inlineStr">
        <is>
          <t>TX-051</t>
        </is>
      </c>
      <c r="B54" s="17" t="inlineStr">
        <is>
          <t>INV-008</t>
        </is>
      </c>
      <c r="C54" s="17" t="inlineStr">
        <is>
          <t>Solstice Payments</t>
        </is>
      </c>
      <c r="D54" s="17" t="inlineStr">
        <is>
          <t>Kat Trust</t>
        </is>
      </c>
      <c r="E54" s="18" t="n">
        <v>45461</v>
      </c>
      <c r="F54" s="17" t="inlineStr">
        <is>
          <t>Capital Call</t>
        </is>
      </c>
      <c r="G54" s="17" t="inlineStr">
        <is>
          <t>Series C</t>
        </is>
      </c>
      <c r="H54" s="19" t="n">
        <v>200000</v>
      </c>
      <c r="I54" s="19" t="n">
        <v>0</v>
      </c>
      <c r="J54" s="21">
        <f>IF(H54="",0,-H54)+IF(I54="",0,I54)</f>
        <v/>
      </c>
      <c r="K54" s="17" t="n"/>
      <c r="L54" s="17" t="inlineStr"/>
      <c r="M54" s="17" t="n"/>
    </row>
    <row r="55">
      <c r="A55" s="17" t="inlineStr">
        <is>
          <t>TX-052</t>
        </is>
      </c>
      <c r="B55" s="17" t="inlineStr">
        <is>
          <t>INV-008</t>
        </is>
      </c>
      <c r="C55" s="17" t="inlineStr">
        <is>
          <t>Solstice Payments</t>
        </is>
      </c>
      <c r="D55" s="17" t="inlineStr">
        <is>
          <t>Nat Trust</t>
        </is>
      </c>
      <c r="E55" s="18" t="n">
        <v>45461</v>
      </c>
      <c r="F55" s="17" t="inlineStr">
        <is>
          <t>Capital Call</t>
        </is>
      </c>
      <c r="G55" s="17" t="inlineStr">
        <is>
          <t>Series C</t>
        </is>
      </c>
      <c r="H55" s="19" t="n">
        <v>200000</v>
      </c>
      <c r="I55" s="19" t="n">
        <v>0</v>
      </c>
      <c r="J55" s="21">
        <f>IF(H55="",0,-H55)+IF(I55="",0,I55)</f>
        <v/>
      </c>
      <c r="K55" s="17" t="n"/>
      <c r="L55" s="17" t="inlineStr"/>
      <c r="M55" s="17" t="n"/>
    </row>
    <row r="56">
      <c r="A56" s="17" t="inlineStr">
        <is>
          <t>TX-053</t>
        </is>
      </c>
      <c r="B56" s="17" t="inlineStr">
        <is>
          <t>INV-008</t>
        </is>
      </c>
      <c r="C56" s="17" t="inlineStr">
        <is>
          <t>Solstice Payments</t>
        </is>
      </c>
      <c r="D56" s="17" t="inlineStr">
        <is>
          <t>Beaman Ventures</t>
        </is>
      </c>
      <c r="E56" s="18" t="n">
        <v>45778</v>
      </c>
      <c r="F56" s="17" t="inlineStr">
        <is>
          <t>Capital Call</t>
        </is>
      </c>
      <c r="G56" s="17" t="inlineStr">
        <is>
          <t>Growth financing</t>
        </is>
      </c>
      <c r="H56" s="19" t="n">
        <v>70000</v>
      </c>
      <c r="I56" s="19" t="n">
        <v>0</v>
      </c>
      <c r="J56" s="21">
        <f>IF(H56="",0,-H56)+IF(I56="",0,I56)</f>
        <v/>
      </c>
      <c r="K56" s="17" t="n"/>
      <c r="L56" s="17" t="inlineStr"/>
      <c r="M56" s="17" t="n"/>
    </row>
    <row r="57">
      <c r="A57" s="17" t="inlineStr">
        <is>
          <t>TX-054</t>
        </is>
      </c>
      <c r="B57" s="17" t="inlineStr">
        <is>
          <t>INV-008</t>
        </is>
      </c>
      <c r="C57" s="17" t="inlineStr">
        <is>
          <t>Solstice Payments</t>
        </is>
      </c>
      <c r="D57" s="17" t="inlineStr">
        <is>
          <t>Lee Beaman</t>
        </is>
      </c>
      <c r="E57" s="18" t="n">
        <v>45778</v>
      </c>
      <c r="F57" s="17" t="inlineStr">
        <is>
          <t>Capital Call</t>
        </is>
      </c>
      <c r="G57" s="17" t="inlineStr">
        <is>
          <t>Growth financing</t>
        </is>
      </c>
      <c r="H57" s="19" t="n">
        <v>30000</v>
      </c>
      <c r="I57" s="19" t="n">
        <v>0</v>
      </c>
      <c r="J57" s="21">
        <f>IF(H57="",0,-H57)+IF(I57="",0,I57)</f>
        <v/>
      </c>
      <c r="K57" s="17" t="n"/>
      <c r="L57" s="17" t="inlineStr"/>
      <c r="M57" s="17" t="n"/>
    </row>
    <row r="58">
      <c r="A58" s="17" t="inlineStr">
        <is>
          <t>TX-055</t>
        </is>
      </c>
      <c r="B58" s="17" t="inlineStr">
        <is>
          <t>INV-008</t>
        </is>
      </c>
      <c r="C58" s="17" t="inlineStr">
        <is>
          <t>Solstice Payments</t>
        </is>
      </c>
      <c r="D58" s="17" t="inlineStr">
        <is>
          <t>Kat Trust</t>
        </is>
      </c>
      <c r="E58" s="18" t="n">
        <v>45778</v>
      </c>
      <c r="F58" s="17" t="inlineStr">
        <is>
          <t>Capital Call</t>
        </is>
      </c>
      <c r="G58" s="17" t="inlineStr">
        <is>
          <t>Growth financing</t>
        </is>
      </c>
      <c r="H58" s="19" t="n">
        <v>50000</v>
      </c>
      <c r="I58" s="19" t="n">
        <v>0</v>
      </c>
      <c r="J58" s="21">
        <f>IF(H58="",0,-H58)+IF(I58="",0,I58)</f>
        <v/>
      </c>
      <c r="K58" s="17" t="n"/>
      <c r="L58" s="17" t="inlineStr"/>
      <c r="M58" s="17" t="n"/>
    </row>
    <row r="59">
      <c r="A59" s="17" t="inlineStr">
        <is>
          <t>TX-056</t>
        </is>
      </c>
      <c r="B59" s="17" t="inlineStr">
        <is>
          <t>INV-008</t>
        </is>
      </c>
      <c r="C59" s="17" t="inlineStr">
        <is>
          <t>Solstice Payments</t>
        </is>
      </c>
      <c r="D59" s="17" t="inlineStr">
        <is>
          <t>Nat Trust</t>
        </is>
      </c>
      <c r="E59" s="18" t="n">
        <v>45778</v>
      </c>
      <c r="F59" s="17" t="inlineStr">
        <is>
          <t>Capital Call</t>
        </is>
      </c>
      <c r="G59" s="17" t="inlineStr">
        <is>
          <t>Growth financing</t>
        </is>
      </c>
      <c r="H59" s="19" t="n">
        <v>50000</v>
      </c>
      <c r="I59" s="19" t="n">
        <v>0</v>
      </c>
      <c r="J59" s="21">
        <f>IF(H59="",0,-H59)+IF(I59="",0,I59)</f>
        <v/>
      </c>
      <c r="K59" s="17" t="n"/>
      <c r="L59" s="17" t="inlineStr"/>
      <c r="M59" s="17" t="n"/>
    </row>
  </sheetData>
  <autoFilter ref="A3:M59"/>
  <mergeCells count="2">
    <mergeCell ref="A2:M2"/>
    <mergeCell ref="A1:M1"/>
  </mergeCells>
  <dataValidations count="2">
    <dataValidation sqref="D4:D59" showDropDown="0" showInputMessage="0" showErrorMessage="0" allowBlank="0" type="list">
      <formula1>=EntityList</formula1>
    </dataValidation>
    <dataValidation sqref="F4:F59" showDropDown="0" showInputMessage="0" showErrorMessage="0" allowBlank="0" type="list">
      <formula1>=TransactionTypeList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8" customWidth="1" min="3" max="3"/>
    <col width="20" customWidth="1" min="4" max="4"/>
    <col width="18" customWidth="1" min="5" max="5"/>
    <col width="18" customWidth="1" min="6" max="6"/>
    <col width="16" customWidth="1" min="7" max="7"/>
    <col width="30" customWidth="1" min="8" max="8"/>
    <col width="18" customWidth="1" min="9" max="9"/>
    <col width="24" customWidth="1" min="10" max="10"/>
  </cols>
  <sheetData>
    <row r="1">
      <c r="A1" s="16" t="inlineStr">
        <is>
          <t>Official Valuation Ledger | Conservative reporting marks</t>
        </is>
      </c>
    </row>
    <row r="2">
      <c r="A2" t="inlineStr">
        <is>
          <t>Default posture is cost until a priced round, transaction, or comparable external marker supports a new official mark.</t>
        </is>
      </c>
    </row>
    <row r="3">
      <c r="A3" s="6" t="inlineStr">
        <is>
          <t>Valuation Date</t>
        </is>
      </c>
      <c r="B3" s="6" t="inlineStr">
        <is>
          <t>Investment ID</t>
        </is>
      </c>
      <c r="C3" s="6" t="inlineStr">
        <is>
          <t>Investment Name</t>
        </is>
      </c>
      <c r="D3" s="6" t="inlineStr">
        <is>
          <t>Entity or All-Entity View</t>
        </is>
      </c>
      <c r="E3" s="6" t="inlineStr">
        <is>
          <t>Prior Official Value</t>
        </is>
      </c>
      <c r="F3" s="6" t="inlineStr">
        <is>
          <t>New Official Value</t>
        </is>
      </c>
      <c r="G3" s="6" t="inlineStr">
        <is>
          <t>Change in Value</t>
        </is>
      </c>
      <c r="H3" s="6" t="inlineStr">
        <is>
          <t>Basis for Mark</t>
        </is>
      </c>
      <c r="I3" s="6" t="inlineStr">
        <is>
          <t>Mark Type</t>
        </is>
      </c>
      <c r="J3" s="6" t="inlineStr">
        <is>
          <t>Notes</t>
        </is>
      </c>
    </row>
    <row r="4">
      <c r="A4" s="18" t="n">
        <v>45657</v>
      </c>
      <c r="B4" s="17" t="inlineStr">
        <is>
          <t>INV-001</t>
        </is>
      </c>
      <c r="C4" s="17" t="inlineStr">
        <is>
          <t>Atlas Data Platforms</t>
        </is>
      </c>
      <c r="D4" s="17" t="inlineStr">
        <is>
          <t>All Entities</t>
        </is>
      </c>
      <c r="E4" s="19" t="n">
        <v>1000000</v>
      </c>
      <c r="F4" s="19" t="n">
        <v>1400000</v>
      </c>
      <c r="G4" s="21">
        <f>F4-E4</f>
        <v/>
      </c>
      <c r="H4" s="17" t="inlineStr">
        <is>
          <t>Priced Round</t>
        </is>
      </c>
      <c r="I4" s="17" t="inlineStr"/>
      <c r="J4" s="17" t="n"/>
    </row>
    <row r="5">
      <c r="A5" s="18" t="n">
        <v>46022</v>
      </c>
      <c r="B5" s="17" t="inlineStr">
        <is>
          <t>INV-001</t>
        </is>
      </c>
      <c r="C5" s="17" t="inlineStr">
        <is>
          <t>Atlas Data Platforms</t>
        </is>
      </c>
      <c r="D5" s="17" t="inlineStr">
        <is>
          <t>All Entities</t>
        </is>
      </c>
      <c r="E5" s="19" t="n">
        <v>1400000</v>
      </c>
      <c r="F5" s="19" t="n">
        <v>1600000</v>
      </c>
      <c r="G5" s="21">
        <f>F5-E5</f>
        <v/>
      </c>
      <c r="H5" s="17" t="inlineStr">
        <is>
          <t>Priced Round</t>
        </is>
      </c>
      <c r="I5" s="17" t="inlineStr"/>
      <c r="J5" s="17" t="n"/>
    </row>
    <row r="6">
      <c r="A6" s="18" t="n">
        <v>46022</v>
      </c>
      <c r="B6" s="17" t="inlineStr">
        <is>
          <t>INV-002</t>
        </is>
      </c>
      <c r="C6" s="17" t="inlineStr">
        <is>
          <t>Harbor Health Partners</t>
        </is>
      </c>
      <c r="D6" s="17" t="inlineStr">
        <is>
          <t>All Entities</t>
        </is>
      </c>
      <c r="E6" s="19" t="n">
        <v>1125000</v>
      </c>
      <c r="F6" s="19" t="n">
        <v>1125000</v>
      </c>
      <c r="G6" s="21">
        <f>F6-E6</f>
        <v/>
      </c>
      <c r="H6" s="17" t="inlineStr">
        <is>
          <t>Cost</t>
        </is>
      </c>
      <c r="I6" s="17" t="inlineStr"/>
      <c r="J6" s="17" t="n"/>
    </row>
    <row r="7">
      <c r="A7" s="18" t="n">
        <v>46022</v>
      </c>
      <c r="B7" s="17" t="inlineStr">
        <is>
          <t>INV-003</t>
        </is>
      </c>
      <c r="C7" s="17" t="inlineStr">
        <is>
          <t>Summit Robotics</t>
        </is>
      </c>
      <c r="D7" s="17" t="inlineStr">
        <is>
          <t>All Entities</t>
        </is>
      </c>
      <c r="E7" s="19" t="n">
        <v>350000</v>
      </c>
      <c r="F7" s="19" t="n">
        <v>420000</v>
      </c>
      <c r="G7" s="21">
        <f>F7-E7</f>
        <v/>
      </c>
      <c r="H7" s="17" t="inlineStr">
        <is>
          <t>Third-Party Transaction</t>
        </is>
      </c>
      <c r="I7" s="17" t="inlineStr">
        <is>
          <t>Partial liquidity achieved</t>
        </is>
      </c>
      <c r="J7" s="17" t="n"/>
    </row>
    <row r="8">
      <c r="A8" s="18" t="n">
        <v>46022</v>
      </c>
      <c r="B8" s="17" t="inlineStr">
        <is>
          <t>INV-004</t>
        </is>
      </c>
      <c r="C8" s="17" t="inlineStr">
        <is>
          <t>Cedar Credit Fund II</t>
        </is>
      </c>
      <c r="D8" s="17" t="inlineStr">
        <is>
          <t>All Entities</t>
        </is>
      </c>
      <c r="E8" s="19" t="n">
        <v>1000000</v>
      </c>
      <c r="F8" s="19" t="n">
        <v>940000</v>
      </c>
      <c r="G8" s="21">
        <f>F8-E8</f>
        <v/>
      </c>
      <c r="H8" s="17" t="inlineStr">
        <is>
          <t>Other</t>
        </is>
      </c>
      <c r="I8" s="17" t="inlineStr">
        <is>
          <t>Conservative mark below internal NAV</t>
        </is>
      </c>
      <c r="J8" s="17" t="n"/>
    </row>
    <row r="9">
      <c r="A9" s="18" t="n">
        <v>44561</v>
      </c>
      <c r="B9" s="17" t="inlineStr">
        <is>
          <t>INV-005</t>
        </is>
      </c>
      <c r="C9" s="17" t="inlineStr">
        <is>
          <t>Meridian Consumer Holdings</t>
        </is>
      </c>
      <c r="D9" s="17" t="inlineStr">
        <is>
          <t>All Entities</t>
        </is>
      </c>
      <c r="E9" s="19" t="n">
        <v>1000000</v>
      </c>
      <c r="F9" s="19" t="n">
        <v>0</v>
      </c>
      <c r="G9" s="21">
        <f>F9-E9</f>
        <v/>
      </c>
      <c r="H9" s="17" t="inlineStr">
        <is>
          <t>Exit Process</t>
        </is>
      </c>
      <c r="I9" s="17" t="inlineStr"/>
      <c r="J9" s="17" t="n"/>
    </row>
    <row r="10">
      <c r="A10" s="18" t="n">
        <v>46022</v>
      </c>
      <c r="B10" s="17" t="inlineStr">
        <is>
          <t>INV-006</t>
        </is>
      </c>
      <c r="C10" s="17" t="inlineStr">
        <is>
          <t>Northshore BioTools</t>
        </is>
      </c>
      <c r="D10" s="17" t="inlineStr">
        <is>
          <t>All Entities</t>
        </is>
      </c>
      <c r="E10" s="19" t="n">
        <v>800000</v>
      </c>
      <c r="F10" s="19" t="n">
        <v>800000</v>
      </c>
      <c r="G10" s="21">
        <f>F10-E10</f>
        <v/>
      </c>
      <c r="H10" s="17" t="inlineStr">
        <is>
          <t>Cost</t>
        </is>
      </c>
      <c r="I10" s="17" t="inlineStr"/>
      <c r="J10" s="17" t="n"/>
    </row>
    <row r="11">
      <c r="A11" s="18" t="n">
        <v>46022</v>
      </c>
      <c r="B11" s="17" t="inlineStr">
        <is>
          <t>INV-007</t>
        </is>
      </c>
      <c r="C11" s="17" t="inlineStr">
        <is>
          <t>Ironclad Energy Services</t>
        </is>
      </c>
      <c r="D11" s="17" t="inlineStr">
        <is>
          <t>All Entities</t>
        </is>
      </c>
      <c r="E11" s="19" t="n">
        <v>400000</v>
      </c>
      <c r="F11" s="19" t="n">
        <v>0</v>
      </c>
      <c r="G11" s="21">
        <f>F11-E11</f>
        <v/>
      </c>
      <c r="H11" s="17" t="inlineStr">
        <is>
          <t>Write-down</t>
        </is>
      </c>
      <c r="I11" s="17" t="inlineStr">
        <is>
          <t>Written to zero</t>
        </is>
      </c>
      <c r="J11" s="17" t="n"/>
    </row>
    <row r="12">
      <c r="A12" s="18" t="n">
        <v>46022</v>
      </c>
      <c r="B12" s="17" t="inlineStr">
        <is>
          <t>INV-008</t>
        </is>
      </c>
      <c r="C12" s="17" t="inlineStr">
        <is>
          <t>Solstice Payments</t>
        </is>
      </c>
      <c r="D12" s="17" t="inlineStr">
        <is>
          <t>All Entities</t>
        </is>
      </c>
      <c r="E12" s="19" t="n">
        <v>1000000</v>
      </c>
      <c r="F12" s="19" t="n">
        <v>1250000</v>
      </c>
      <c r="G12" s="21">
        <f>F12-E12</f>
        <v/>
      </c>
      <c r="H12" s="17" t="inlineStr">
        <is>
          <t>Priced Round</t>
        </is>
      </c>
      <c r="I12" s="17" t="inlineStr"/>
      <c r="J12" s="17" t="n"/>
    </row>
  </sheetData>
  <autoFilter ref="A3:J12"/>
  <mergeCells count="2">
    <mergeCell ref="A1:J1"/>
    <mergeCell ref="A2:J2"/>
  </mergeCells>
  <dataValidations count="1">
    <dataValidation sqref="I4:I12" showDropDown="0" showInputMessage="0" showErrorMessage="0" allowBlank="0" type="list">
      <formula1>=MarkTypeList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5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2" customWidth="1" min="10" max="10"/>
    <col width="16" customWidth="1" min="11" max="11"/>
    <col width="14" customWidth="1" min="12" max="12"/>
    <col width="16" customWidth="1" min="13" max="13"/>
    <col width="18" customWidth="1" min="14" max="14"/>
    <col width="18" customWidth="1" min="15" max="15"/>
    <col width="18" customWidth="1" min="16" max="16"/>
    <col width="16" customWidth="1" min="17" max="17"/>
    <col width="14" customWidth="1" min="18" max="18"/>
    <col width="12" customWidth="1" min="19" max="19"/>
    <col width="26" customWidth="1" min="20" max="20"/>
  </cols>
  <sheetData>
    <row r="1">
      <c r="A1" s="16" t="inlineStr">
        <is>
          <t>Internal Valuation Model | Team view of intrinsic value</t>
        </is>
      </c>
    </row>
    <row r="2">
      <c r="A2" t="inlineStr">
        <is>
          <t>Use the selected method to drive value. Manual override takes precedence only when that method is selected.</t>
        </is>
      </c>
    </row>
    <row r="3">
      <c r="A3" s="6" t="inlineStr">
        <is>
          <t>Investment ID</t>
        </is>
      </c>
      <c r="B3" s="6" t="inlineStr">
        <is>
          <t>Investment Name</t>
        </is>
      </c>
      <c r="C3" s="6" t="inlineStr">
        <is>
          <t>Valuation Date</t>
        </is>
      </c>
      <c r="D3" s="6" t="inlineStr">
        <is>
          <t>Valuation Method</t>
        </is>
      </c>
      <c r="E3" s="6" t="inlineStr">
        <is>
          <t>LTM Revenue</t>
        </is>
      </c>
      <c r="F3" s="6" t="inlineStr">
        <is>
          <t>LTM EBITDA</t>
        </is>
      </c>
      <c r="G3" s="6" t="inlineStr">
        <is>
          <t>EBITDA Multiple</t>
        </is>
      </c>
      <c r="H3" s="6" t="inlineStr">
        <is>
          <t>Revenue Multiple</t>
        </is>
      </c>
      <c r="I3" s="6" t="inlineStr">
        <is>
          <t>Enterprise Value</t>
        </is>
      </c>
      <c r="J3" s="6" t="inlineStr">
        <is>
          <t>Net Debt</t>
        </is>
      </c>
      <c r="K3" s="6" t="inlineStr">
        <is>
          <t>Equity Value</t>
        </is>
      </c>
      <c r="L3" s="6" t="inlineStr">
        <is>
          <t>Our Ownership %</t>
        </is>
      </c>
      <c r="M3" s="6" t="inlineStr">
        <is>
          <t>Our Value</t>
        </is>
      </c>
      <c r="N3" s="6" t="inlineStr">
        <is>
          <t>Discount / premium adjustment</t>
        </is>
      </c>
      <c r="O3" s="6" t="inlineStr">
        <is>
          <t>Manual override value</t>
        </is>
      </c>
      <c r="P3" s="6" t="inlineStr">
        <is>
          <t>Final Internal Value</t>
        </is>
      </c>
      <c r="Q3" s="6" t="inlineStr">
        <is>
          <t>Official Value</t>
        </is>
      </c>
      <c r="R3" s="6" t="inlineStr">
        <is>
          <t>Delta $</t>
        </is>
      </c>
      <c r="S3" s="6" t="inlineStr">
        <is>
          <t>Delta %</t>
        </is>
      </c>
      <c r="T3" s="6" t="inlineStr">
        <is>
          <t>Notes</t>
        </is>
      </c>
    </row>
    <row r="4">
      <c r="A4" s="17" t="inlineStr">
        <is>
          <t>INV-001</t>
        </is>
      </c>
      <c r="B4" s="17" t="inlineStr">
        <is>
          <t>Atlas Data Platforms</t>
        </is>
      </c>
      <c r="C4" s="18" t="n">
        <v>46022</v>
      </c>
      <c r="D4" s="17" t="inlineStr">
        <is>
          <t>Revenue multiple</t>
        </is>
      </c>
      <c r="E4" s="19" t="n">
        <v>42000000</v>
      </c>
      <c r="F4" s="19" t="n">
        <v>0</v>
      </c>
      <c r="G4" s="19" t="n">
        <v>0</v>
      </c>
      <c r="H4" s="19" t="n">
        <v>6.2</v>
      </c>
      <c r="I4" s="21">
        <f>IF(D4="EBITDA multiple",F4*G4,IF(D4="Revenue multiple",E4*H4,IF(D4="NAV / asset-based",E4,IF(D4="Manual override",O4,0))))</f>
        <v/>
      </c>
      <c r="J4" s="19" t="n">
        <v>0</v>
      </c>
      <c r="K4" s="21">
        <f>IF(D4="NAV / asset-based",E4,I4-J4)</f>
        <v/>
      </c>
      <c r="L4" s="20" t="n">
        <v>0</v>
      </c>
      <c r="M4" s="21">
        <f>K4*L4</f>
        <v/>
      </c>
      <c r="N4" s="20" t="n">
        <v>0</v>
      </c>
      <c r="O4" s="19" t="n"/>
      <c r="P4" s="21">
        <f>IF(D4="Manual override",O4,M4*(1+N4))</f>
        <v/>
      </c>
      <c r="Q4" s="21">
        <f>XLOOKUP(A4,tblOfficialMarks[Investment ID],tblOfficialMarks[New Official Value],0,0,-1)</f>
        <v/>
      </c>
      <c r="R4" s="21">
        <f>P4-Q4</f>
        <v/>
      </c>
      <c r="S4" s="22">
        <f>IFERROR(R4/Q4,"")</f>
        <v/>
      </c>
      <c r="T4" s="17" t="n"/>
    </row>
    <row r="5">
      <c r="A5" s="17" t="inlineStr">
        <is>
          <t>INV-002</t>
        </is>
      </c>
      <c r="B5" s="17" t="inlineStr">
        <is>
          <t>Harbor Health Partners</t>
        </is>
      </c>
      <c r="C5" s="18" t="n">
        <v>46022</v>
      </c>
      <c r="D5" s="17" t="inlineStr">
        <is>
          <t>EBITDA multiple</t>
        </is>
      </c>
      <c r="E5" s="19" t="n">
        <v>0</v>
      </c>
      <c r="F5" s="19" t="n">
        <v>18000000</v>
      </c>
      <c r="G5" s="19" t="n">
        <v>9.5</v>
      </c>
      <c r="H5" s="19" t="n">
        <v>0</v>
      </c>
      <c r="I5" s="21">
        <f>IF(D5="EBITDA multiple",F5*G5,IF(D5="Revenue multiple",E5*H5,IF(D5="NAV / asset-based",E5,IF(D5="Manual override",O5,0))))</f>
        <v/>
      </c>
      <c r="J5" s="19" t="n">
        <v>0</v>
      </c>
      <c r="K5" s="21">
        <f>IF(D5="NAV / asset-based",E5,I5-J5)</f>
        <v/>
      </c>
      <c r="L5" s="20" t="n">
        <v>0</v>
      </c>
      <c r="M5" s="21">
        <f>K5*L5</f>
        <v/>
      </c>
      <c r="N5" s="20" t="n">
        <v>0</v>
      </c>
      <c r="O5" s="19" t="n"/>
      <c r="P5" s="21">
        <f>IF(D5="Manual override",O5,M5*(1+N5))</f>
        <v/>
      </c>
      <c r="Q5" s="21">
        <f>XLOOKUP(A5,tblOfficialMarks[Investment ID],tblOfficialMarks[New Official Value],0,0,-1)</f>
        <v/>
      </c>
      <c r="R5" s="21">
        <f>P5-Q5</f>
        <v/>
      </c>
      <c r="S5" s="22">
        <f>IFERROR(R5/Q5,"")</f>
        <v/>
      </c>
      <c r="T5" s="17" t="n"/>
    </row>
    <row r="6">
      <c r="A6" s="17" t="inlineStr">
        <is>
          <t>INV-003</t>
        </is>
      </c>
      <c r="B6" s="17" t="inlineStr">
        <is>
          <t>Summit Robotics</t>
        </is>
      </c>
      <c r="C6" s="18" t="n">
        <v>46022</v>
      </c>
      <c r="D6" s="17" t="inlineStr">
        <is>
          <t>Revenue multiple</t>
        </is>
      </c>
      <c r="E6" s="19" t="n">
        <v>21000000</v>
      </c>
      <c r="F6" s="19" t="n">
        <v>0</v>
      </c>
      <c r="G6" s="19" t="n">
        <v>0</v>
      </c>
      <c r="H6" s="19" t="n">
        <v>4.8</v>
      </c>
      <c r="I6" s="21">
        <f>IF(D6="EBITDA multiple",F6*G6,IF(D6="Revenue multiple",E6*H6,IF(D6="NAV / asset-based",E6,IF(D6="Manual override",O6,0))))</f>
        <v/>
      </c>
      <c r="J6" s="19" t="n">
        <v>0</v>
      </c>
      <c r="K6" s="21">
        <f>IF(D6="NAV / asset-based",E6,I6-J6)</f>
        <v/>
      </c>
      <c r="L6" s="20" t="n">
        <v>0</v>
      </c>
      <c r="M6" s="21">
        <f>K6*L6</f>
        <v/>
      </c>
      <c r="N6" s="20" t="n">
        <v>0</v>
      </c>
      <c r="O6" s="19" t="n"/>
      <c r="P6" s="21">
        <f>IF(D6="Manual override",O6,M6*(1+N6))</f>
        <v/>
      </c>
      <c r="Q6" s="21">
        <f>XLOOKUP(A6,tblOfficialMarks[Investment ID],tblOfficialMarks[New Official Value],0,0,-1)</f>
        <v/>
      </c>
      <c r="R6" s="21">
        <f>P6-Q6</f>
        <v/>
      </c>
      <c r="S6" s="22">
        <f>IFERROR(R6/Q6,"")</f>
        <v/>
      </c>
      <c r="T6" s="17" t="n"/>
    </row>
    <row r="7">
      <c r="A7" s="17" t="inlineStr">
        <is>
          <t>INV-004</t>
        </is>
      </c>
      <c r="B7" s="17" t="inlineStr">
        <is>
          <t>Cedar Credit Fund II</t>
        </is>
      </c>
      <c r="C7" s="18" t="n">
        <v>46022</v>
      </c>
      <c r="D7" s="17" t="inlineStr">
        <is>
          <t>NAV / asset-based</t>
        </is>
      </c>
      <c r="E7" s="19" t="n">
        <v>0</v>
      </c>
      <c r="F7" s="19" t="n">
        <v>0</v>
      </c>
      <c r="G7" s="19" t="n">
        <v>0</v>
      </c>
      <c r="H7" s="19" t="n">
        <v>0</v>
      </c>
      <c r="I7" s="21">
        <f>IF(D7="EBITDA multiple",F7*G7,IF(D7="Revenue multiple",E7*H7,IF(D7="NAV / asset-based",E7,IF(D7="Manual override",O7,0))))</f>
        <v/>
      </c>
      <c r="J7" s="19" t="n">
        <v>0</v>
      </c>
      <c r="K7" s="21">
        <f>IF(D7="NAV / asset-based",E7,I7-J7)</f>
        <v/>
      </c>
      <c r="L7" s="20" t="n">
        <v>0</v>
      </c>
      <c r="M7" s="21">
        <f>K7*L7</f>
        <v/>
      </c>
      <c r="N7" s="20" t="n">
        <v>0</v>
      </c>
      <c r="O7" s="19" t="n"/>
      <c r="P7" s="21">
        <f>IF(D7="Manual override",O7,M7*(1+N7))</f>
        <v/>
      </c>
      <c r="Q7" s="21">
        <f>XLOOKUP(A7,tblOfficialMarks[Investment ID],tblOfficialMarks[New Official Value],0,0,-1)</f>
        <v/>
      </c>
      <c r="R7" s="21">
        <f>P7-Q7</f>
        <v/>
      </c>
      <c r="S7" s="22">
        <f>IFERROR(R7/Q7,"")</f>
        <v/>
      </c>
      <c r="T7" s="17" t="n"/>
    </row>
    <row r="8">
      <c r="A8" s="17" t="inlineStr">
        <is>
          <t>INV-005</t>
        </is>
      </c>
      <c r="B8" s="17" t="inlineStr">
        <is>
          <t>Meridian Consumer Holdings</t>
        </is>
      </c>
      <c r="C8" s="18" t="n">
        <v>46022</v>
      </c>
      <c r="D8" s="17" t="inlineStr">
        <is>
          <t>EBITDA multiple</t>
        </is>
      </c>
      <c r="E8" s="19" t="n">
        <v>0</v>
      </c>
      <c r="F8" s="19" t="n">
        <v>0</v>
      </c>
      <c r="G8" s="19" t="n">
        <v>0</v>
      </c>
      <c r="H8" s="19" t="n">
        <v>0</v>
      </c>
      <c r="I8" s="21">
        <f>IF(D8="EBITDA multiple",F8*G8,IF(D8="Revenue multiple",E8*H8,IF(D8="NAV / asset-based",E8,IF(D8="Manual override",O8,0))))</f>
        <v/>
      </c>
      <c r="J8" s="19" t="n">
        <v>0</v>
      </c>
      <c r="K8" s="21">
        <f>IF(D8="NAV / asset-based",E8,I8-J8)</f>
        <v/>
      </c>
      <c r="L8" s="20" t="n">
        <v>0</v>
      </c>
      <c r="M8" s="21">
        <f>K8*L8</f>
        <v/>
      </c>
      <c r="N8" s="20" t="n">
        <v>0</v>
      </c>
      <c r="O8" s="19" t="n">
        <v>0</v>
      </c>
      <c r="P8" s="21">
        <f>IF(D8="Manual override",O8,M8*(1+N8))</f>
        <v/>
      </c>
      <c r="Q8" s="21">
        <f>XLOOKUP(A8,tblOfficialMarks[Investment ID],tblOfficialMarks[New Official Value],0,0,-1)</f>
        <v/>
      </c>
      <c r="R8" s="21">
        <f>P8-Q8</f>
        <v/>
      </c>
      <c r="S8" s="22">
        <f>IFERROR(R8/Q8,"")</f>
        <v/>
      </c>
      <c r="T8" s="17" t="n"/>
    </row>
    <row r="9">
      <c r="A9" s="17" t="inlineStr">
        <is>
          <t>INV-006</t>
        </is>
      </c>
      <c r="B9" s="17" t="inlineStr">
        <is>
          <t>Northshore BioTools</t>
        </is>
      </c>
      <c r="C9" s="18" t="n">
        <v>46022</v>
      </c>
      <c r="D9" s="17" t="inlineStr">
        <is>
          <t>Revenue multiple</t>
        </is>
      </c>
      <c r="E9" s="19" t="n">
        <v>24000000</v>
      </c>
      <c r="F9" s="19" t="n">
        <v>0</v>
      </c>
      <c r="G9" s="19" t="n">
        <v>0</v>
      </c>
      <c r="H9" s="19" t="n">
        <v>5</v>
      </c>
      <c r="I9" s="21">
        <f>IF(D9="EBITDA multiple",F9*G9,IF(D9="Revenue multiple",E9*H9,IF(D9="NAV / asset-based",E9,IF(D9="Manual override",O9,0))))</f>
        <v/>
      </c>
      <c r="J9" s="19" t="n">
        <v>0</v>
      </c>
      <c r="K9" s="21">
        <f>IF(D9="NAV / asset-based",E9,I9-J9)</f>
        <v/>
      </c>
      <c r="L9" s="20" t="n">
        <v>0</v>
      </c>
      <c r="M9" s="21">
        <f>K9*L9</f>
        <v/>
      </c>
      <c r="N9" s="20" t="n">
        <v>0.05</v>
      </c>
      <c r="O9" s="19" t="n"/>
      <c r="P9" s="21">
        <f>IF(D9="Manual override",O9,M9*(1+N9))</f>
        <v/>
      </c>
      <c r="Q9" s="21">
        <f>XLOOKUP(A9,tblOfficialMarks[Investment ID],tblOfficialMarks[New Official Value],0,0,-1)</f>
        <v/>
      </c>
      <c r="R9" s="21">
        <f>P9-Q9</f>
        <v/>
      </c>
      <c r="S9" s="22">
        <f>IFERROR(R9/Q9,"")</f>
        <v/>
      </c>
      <c r="T9" s="17" t="n"/>
    </row>
    <row r="10">
      <c r="A10" s="17" t="inlineStr">
        <is>
          <t>INV-007</t>
        </is>
      </c>
      <c r="B10" s="17" t="inlineStr">
        <is>
          <t>Ironclad Energy Services</t>
        </is>
      </c>
      <c r="C10" s="18" t="n">
        <v>46022</v>
      </c>
      <c r="D10" s="17" t="inlineStr">
        <is>
          <t>Manual override</t>
        </is>
      </c>
      <c r="E10" s="19" t="n">
        <v>0</v>
      </c>
      <c r="F10" s="19" t="n">
        <v>0</v>
      </c>
      <c r="G10" s="19" t="n">
        <v>0</v>
      </c>
      <c r="H10" s="19" t="n">
        <v>0</v>
      </c>
      <c r="I10" s="21">
        <f>IF(D10="EBITDA multiple",F10*G10,IF(D10="Revenue multiple",E10*H10,IF(D10="NAV / asset-based",E10,IF(D10="Manual override",O10,0))))</f>
        <v/>
      </c>
      <c r="J10" s="19" t="n">
        <v>0</v>
      </c>
      <c r="K10" s="21">
        <f>IF(D10="NAV / asset-based",E10,I10-J10)</f>
        <v/>
      </c>
      <c r="L10" s="20" t="n">
        <v>0</v>
      </c>
      <c r="M10" s="21">
        <f>K10*L10</f>
        <v/>
      </c>
      <c r="N10" s="20" t="n">
        <v>0</v>
      </c>
      <c r="O10" s="19" t="n">
        <v>0</v>
      </c>
      <c r="P10" s="21">
        <f>IF(D10="Manual override",O10,M10*(1+N10))</f>
        <v/>
      </c>
      <c r="Q10" s="21">
        <f>XLOOKUP(A10,tblOfficialMarks[Investment ID],tblOfficialMarks[New Official Value],0,0,-1)</f>
        <v/>
      </c>
      <c r="R10" s="21">
        <f>P10-Q10</f>
        <v/>
      </c>
      <c r="S10" s="22">
        <f>IFERROR(R10/Q10,"")</f>
        <v/>
      </c>
      <c r="T10" s="17" t="n"/>
    </row>
    <row r="11">
      <c r="A11" s="17" t="inlineStr">
        <is>
          <t>INV-008</t>
        </is>
      </c>
      <c r="B11" s="17" t="inlineStr">
        <is>
          <t>Solstice Payments</t>
        </is>
      </c>
      <c r="C11" s="18" t="n">
        <v>46022</v>
      </c>
      <c r="D11" s="17" t="inlineStr">
        <is>
          <t>Revenue multiple</t>
        </is>
      </c>
      <c r="E11" s="19" t="n">
        <v>36000000</v>
      </c>
      <c r="F11" s="19" t="n">
        <v>0</v>
      </c>
      <c r="G11" s="19" t="n">
        <v>0</v>
      </c>
      <c r="H11" s="19" t="n">
        <v>5.8</v>
      </c>
      <c r="I11" s="21">
        <f>IF(D11="EBITDA multiple",F11*G11,IF(D11="Revenue multiple",E11*H11,IF(D11="NAV / asset-based",E11,IF(D11="Manual override",O11,0))))</f>
        <v/>
      </c>
      <c r="J11" s="19" t="n">
        <v>0</v>
      </c>
      <c r="K11" s="21">
        <f>IF(D11="NAV / asset-based",E11,I11-J11)</f>
        <v/>
      </c>
      <c r="L11" s="20" t="n">
        <v>0</v>
      </c>
      <c r="M11" s="21">
        <f>K11*L11</f>
        <v/>
      </c>
      <c r="N11" s="20" t="n">
        <v>0</v>
      </c>
      <c r="O11" s="19" t="n"/>
      <c r="P11" s="21">
        <f>IF(D11="Manual override",O11,M11*(1+N11))</f>
        <v/>
      </c>
      <c r="Q11" s="21">
        <f>XLOOKUP(A11,tblOfficialMarks[Investment ID],tblOfficialMarks[New Official Value],0,0,-1)</f>
        <v/>
      </c>
      <c r="R11" s="21">
        <f>P11-Q11</f>
        <v/>
      </c>
      <c r="S11" s="22">
        <f>IFERROR(R11/Q11,"")</f>
        <v/>
      </c>
      <c r="T11" s="17" t="n"/>
    </row>
  </sheetData>
  <autoFilter ref="A3:T11"/>
  <mergeCells count="2">
    <mergeCell ref="A1:T1"/>
    <mergeCell ref="A2:T2"/>
  </mergeCells>
  <dataValidations count="1">
    <dataValidation sqref="D4:D11" showDropDown="0" showInputMessage="0" showErrorMessage="0" allowBlank="1" type="list">
      <formula1>=ValuationMethodList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8" customWidth="1" min="5" max="5"/>
    <col width="14" customWidth="1" min="6" max="6"/>
    <col width="18" customWidth="1" min="7" max="7"/>
    <col width="14" customWidth="1" min="8" max="8"/>
    <col width="16" customWidth="1" min="9" max="9"/>
    <col width="14" customWidth="1" min="10" max="10"/>
    <col width="18" customWidth="1" min="11" max="11"/>
    <col width="22" customWidth="1" min="12" max="12"/>
    <col width="18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</cols>
  <sheetData>
    <row r="1">
      <c r="A1" s="16" t="inlineStr">
        <is>
          <t>Exit Scenario Valuation | Planning case only</t>
        </is>
      </c>
    </row>
    <row r="2">
      <c r="A2" t="inlineStr">
        <is>
          <t>Exit values support scenario planning and should not be used as official NAV.</t>
        </is>
      </c>
    </row>
    <row r="3">
      <c r="A3" s="6" t="inlineStr">
        <is>
          <t>Investment ID</t>
        </is>
      </c>
      <c r="B3" s="6" t="inlineStr">
        <is>
          <t>Investment Name</t>
        </is>
      </c>
      <c r="C3" s="6" t="inlineStr">
        <is>
          <t>Exit Date Assumption</t>
        </is>
      </c>
      <c r="D3" s="6" t="inlineStr">
        <is>
          <t>Exit Metric</t>
        </is>
      </c>
      <c r="E3" s="6" t="inlineStr">
        <is>
          <t>Exit Metric Amount</t>
        </is>
      </c>
      <c r="F3" s="6" t="inlineStr">
        <is>
          <t>Exit Multiple</t>
        </is>
      </c>
      <c r="G3" s="6" t="inlineStr">
        <is>
          <t>Enterprise Value</t>
        </is>
      </c>
      <c r="H3" s="6" t="inlineStr">
        <is>
          <t>Less Debt</t>
        </is>
      </c>
      <c r="I3" s="6" t="inlineStr">
        <is>
          <t>Equity Value</t>
        </is>
      </c>
      <c r="J3" s="6" t="inlineStr">
        <is>
          <t>Our Ownership %</t>
        </is>
      </c>
      <c r="K3" s="6" t="inlineStr">
        <is>
          <t>Gross Exit Value</t>
        </is>
      </c>
      <c r="L3" s="6" t="inlineStr">
        <is>
          <t>Estimated Fees / Taxes / Costs</t>
        </is>
      </c>
      <c r="M3" s="6" t="inlineStr">
        <is>
          <t>Net Exit Value</t>
        </is>
      </c>
      <c r="N3" s="6" t="inlineStr">
        <is>
          <t>Official Value</t>
        </is>
      </c>
      <c r="O3" s="6" t="inlineStr">
        <is>
          <t>Internal Value</t>
        </is>
      </c>
      <c r="P3" s="6" t="inlineStr">
        <is>
          <t>Upside vs Official</t>
        </is>
      </c>
      <c r="Q3" s="6" t="inlineStr">
        <is>
          <t>Upside vs Internal</t>
        </is>
      </c>
      <c r="R3" s="6" t="inlineStr">
        <is>
          <t>Notes</t>
        </is>
      </c>
    </row>
    <row r="4">
      <c r="A4" s="17" t="inlineStr">
        <is>
          <t>INV-001</t>
        </is>
      </c>
      <c r="B4" s="17" t="inlineStr">
        <is>
          <t>Atlas Data Platforms</t>
        </is>
      </c>
      <c r="C4" s="18" t="n">
        <v>46752</v>
      </c>
      <c r="D4" s="17" t="inlineStr">
        <is>
          <t>Revenue</t>
        </is>
      </c>
      <c r="E4" s="19" t="n">
        <v>50000000</v>
      </c>
      <c r="F4" s="19" t="n">
        <v>7</v>
      </c>
      <c r="G4" s="21">
        <f>IF(D4="Other",E4,E4*F4)</f>
        <v/>
      </c>
      <c r="H4" s="19" t="n">
        <v>0.08</v>
      </c>
      <c r="I4" s="21">
        <f>G4-H4</f>
        <v/>
      </c>
      <c r="J4" s="20" t="inlineStr">
        <is>
          <t>Strategic sale scenario</t>
        </is>
      </c>
      <c r="K4" s="21">
        <f>I4*J4</f>
        <v/>
      </c>
      <c r="L4" s="19" t="n"/>
      <c r="M4" s="21">
        <f>K4-L4</f>
        <v/>
      </c>
      <c r="N4" s="21">
        <f>XLOOKUP(A4,tblOfficialMarks[Investment ID],tblOfficialMarks[New Official Value],0,0,-1)</f>
        <v/>
      </c>
      <c r="O4" s="21">
        <f>XLOOKUP(A4,tblInternalModel[Investment ID],tblInternalModel[Final Internal Value],0,0,-1)</f>
        <v/>
      </c>
      <c r="P4" s="21">
        <f>M4-N4</f>
        <v/>
      </c>
      <c r="Q4" s="21">
        <f>M4-O4</f>
        <v/>
      </c>
      <c r="R4" s="17" t="n"/>
    </row>
    <row r="5">
      <c r="A5" s="17" t="inlineStr">
        <is>
          <t>INV-002</t>
        </is>
      </c>
      <c r="B5" s="17" t="inlineStr">
        <is>
          <t>Harbor Health Partners</t>
        </is>
      </c>
      <c r="C5" s="18" t="n">
        <v>46752</v>
      </c>
      <c r="D5" s="17" t="inlineStr">
        <is>
          <t>EBITDA</t>
        </is>
      </c>
      <c r="E5" s="19" t="n">
        <v>22000000</v>
      </c>
      <c r="F5" s="19" t="n">
        <v>11</v>
      </c>
      <c r="G5" s="21">
        <f>IF(D5="Other",E5,E5*F5)</f>
        <v/>
      </c>
      <c r="H5" s="19" t="n">
        <v>0.12</v>
      </c>
      <c r="I5" s="21">
        <f>G5-H5</f>
        <v/>
      </c>
      <c r="J5" s="20" t="inlineStr">
        <is>
          <t>Sponsor sale after de-leveraging</t>
        </is>
      </c>
      <c r="K5" s="21">
        <f>I5*J5</f>
        <v/>
      </c>
      <c r="L5" s="19" t="n"/>
      <c r="M5" s="21">
        <f>K5-L5</f>
        <v/>
      </c>
      <c r="N5" s="21">
        <f>XLOOKUP(A5,tblOfficialMarks[Investment ID],tblOfficialMarks[New Official Value],0,0,-1)</f>
        <v/>
      </c>
      <c r="O5" s="21">
        <f>XLOOKUP(A5,tblInternalModel[Investment ID],tblInternalModel[Final Internal Value],0,0,-1)</f>
        <v/>
      </c>
      <c r="P5" s="21">
        <f>M5-N5</f>
        <v/>
      </c>
      <c r="Q5" s="21">
        <f>M5-O5</f>
        <v/>
      </c>
      <c r="R5" s="17" t="n"/>
    </row>
    <row r="6">
      <c r="A6" s="17" t="inlineStr">
        <is>
          <t>INV-003</t>
        </is>
      </c>
      <c r="B6" s="17" t="inlineStr">
        <is>
          <t>Summit Robotics</t>
        </is>
      </c>
      <c r="C6" s="18" t="n">
        <v>46568</v>
      </c>
      <c r="D6" s="17" t="inlineStr">
        <is>
          <t>EBITDA</t>
        </is>
      </c>
      <c r="E6" s="19" t="n">
        <v>14000000</v>
      </c>
      <c r="F6" s="19" t="n">
        <v>12</v>
      </c>
      <c r="G6" s="21">
        <f>IF(D6="Other",E6,E6*F6)</f>
        <v/>
      </c>
      <c r="H6" s="19" t="n">
        <v>0.065</v>
      </c>
      <c r="I6" s="21">
        <f>G6-H6</f>
        <v/>
      </c>
      <c r="J6" s="20" t="inlineStr">
        <is>
          <t>IPO / strategic sale case</t>
        </is>
      </c>
      <c r="K6" s="21">
        <f>I6*J6</f>
        <v/>
      </c>
      <c r="L6" s="19" t="n"/>
      <c r="M6" s="21">
        <f>K6-L6</f>
        <v/>
      </c>
      <c r="N6" s="21">
        <f>XLOOKUP(A6,tblOfficialMarks[Investment ID],tblOfficialMarks[New Official Value],0,0,-1)</f>
        <v/>
      </c>
      <c r="O6" s="21">
        <f>XLOOKUP(A6,tblInternalModel[Investment ID],tblInternalModel[Final Internal Value],0,0,-1)</f>
        <v/>
      </c>
      <c r="P6" s="21">
        <f>M6-N6</f>
        <v/>
      </c>
      <c r="Q6" s="21">
        <f>M6-O6</f>
        <v/>
      </c>
      <c r="R6" s="17" t="n"/>
    </row>
    <row r="7">
      <c r="A7" s="17" t="inlineStr">
        <is>
          <t>INV-004</t>
        </is>
      </c>
      <c r="B7" s="17" t="inlineStr">
        <is>
          <t>Cedar Credit Fund II</t>
        </is>
      </c>
      <c r="C7" s="18" t="n">
        <v>46387</v>
      </c>
      <c r="D7" s="17" t="inlineStr">
        <is>
          <t>Other</t>
        </is>
      </c>
      <c r="E7" s="19" t="n">
        <v>980000</v>
      </c>
      <c r="F7" s="19" t="n">
        <v>1</v>
      </c>
      <c r="G7" s="21">
        <f>IF(D7="Other",E7,E7*F7)</f>
        <v/>
      </c>
      <c r="H7" s="19" t="n">
        <v>0.04</v>
      </c>
      <c r="I7" s="21">
        <f>G7-H7</f>
        <v/>
      </c>
      <c r="J7" s="20" t="inlineStr">
        <is>
          <t>Wind-down at current NAV</t>
        </is>
      </c>
      <c r="K7" s="21">
        <f>I7*J7</f>
        <v/>
      </c>
      <c r="L7" s="19" t="n"/>
      <c r="M7" s="21">
        <f>K7-L7</f>
        <v/>
      </c>
      <c r="N7" s="21">
        <f>XLOOKUP(A7,tblOfficialMarks[Investment ID],tblOfficialMarks[New Official Value],0,0,-1)</f>
        <v/>
      </c>
      <c r="O7" s="21">
        <f>XLOOKUP(A7,tblInternalModel[Investment ID],tblInternalModel[Final Internal Value],0,0,-1)</f>
        <v/>
      </c>
      <c r="P7" s="21">
        <f>M7-N7</f>
        <v/>
      </c>
      <c r="Q7" s="21">
        <f>M7-O7</f>
        <v/>
      </c>
      <c r="R7" s="17" t="n"/>
    </row>
    <row r="8">
      <c r="A8" s="17" t="inlineStr">
        <is>
          <t>INV-005</t>
        </is>
      </c>
      <c r="B8" s="17" t="inlineStr">
        <is>
          <t>Meridian Consumer Holdings</t>
        </is>
      </c>
      <c r="C8" s="18" t="n">
        <v>44561</v>
      </c>
      <c r="D8" s="17" t="inlineStr">
        <is>
          <t>EBITDA</t>
        </is>
      </c>
      <c r="E8" s="19" t="n">
        <v>0</v>
      </c>
      <c r="F8" s="19" t="n">
        <v>0</v>
      </c>
      <c r="G8" s="21">
        <f>IF(D8="Other",E8,E8*F8)</f>
        <v/>
      </c>
      <c r="H8" s="19" t="n">
        <v>0.05</v>
      </c>
      <c r="I8" s="21">
        <f>G8-H8</f>
        <v/>
      </c>
      <c r="J8" s="20" t="inlineStr">
        <is>
          <t>Already exited</t>
        </is>
      </c>
      <c r="K8" s="21">
        <f>I8*J8</f>
        <v/>
      </c>
      <c r="L8" s="19" t="n"/>
      <c r="M8" s="21">
        <f>K8-L8</f>
        <v/>
      </c>
      <c r="N8" s="21">
        <f>XLOOKUP(A8,tblOfficialMarks[Investment ID],tblOfficialMarks[New Official Value],0,0,-1)</f>
        <v/>
      </c>
      <c r="O8" s="21">
        <f>XLOOKUP(A8,tblInternalModel[Investment ID],tblInternalModel[Final Internal Value],0,0,-1)</f>
        <v/>
      </c>
      <c r="P8" s="21">
        <f>M8-N8</f>
        <v/>
      </c>
      <c r="Q8" s="21">
        <f>M8-O8</f>
        <v/>
      </c>
      <c r="R8" s="17" t="n"/>
    </row>
    <row r="9">
      <c r="A9" s="17" t="inlineStr">
        <is>
          <t>INV-006</t>
        </is>
      </c>
      <c r="B9" s="17" t="inlineStr">
        <is>
          <t>Northshore BioTools</t>
        </is>
      </c>
      <c r="C9" s="18" t="n">
        <v>47118</v>
      </c>
      <c r="D9" s="17" t="inlineStr">
        <is>
          <t>Revenue</t>
        </is>
      </c>
      <c r="E9" s="19" t="n">
        <v>32000000</v>
      </c>
      <c r="F9" s="19" t="n">
        <v>6</v>
      </c>
      <c r="G9" s="21">
        <f>IF(D9="Other",E9,E9*F9)</f>
        <v/>
      </c>
      <c r="H9" s="19" t="n">
        <v>0.09</v>
      </c>
      <c r="I9" s="21">
        <f>G9-H9</f>
        <v/>
      </c>
      <c r="J9" s="20" t="inlineStr">
        <is>
          <t>Takeout by strategic diagnostics buyer</t>
        </is>
      </c>
      <c r="K9" s="21">
        <f>I9*J9</f>
        <v/>
      </c>
      <c r="L9" s="19" t="n"/>
      <c r="M9" s="21">
        <f>K9-L9</f>
        <v/>
      </c>
      <c r="N9" s="21">
        <f>XLOOKUP(A9,tblOfficialMarks[Investment ID],tblOfficialMarks[New Official Value],0,0,-1)</f>
        <v/>
      </c>
      <c r="O9" s="21">
        <f>XLOOKUP(A9,tblInternalModel[Investment ID],tblInternalModel[Final Internal Value],0,0,-1)</f>
        <v/>
      </c>
      <c r="P9" s="21">
        <f>M9-N9</f>
        <v/>
      </c>
      <c r="Q9" s="21">
        <f>M9-O9</f>
        <v/>
      </c>
      <c r="R9" s="17" t="n"/>
    </row>
    <row r="10">
      <c r="A10" s="17" t="inlineStr">
        <is>
          <t>INV-007</t>
        </is>
      </c>
      <c r="B10" s="17" t="inlineStr">
        <is>
          <t>Ironclad Energy Services</t>
        </is>
      </c>
      <c r="C10" s="18" t="n">
        <v>46022</v>
      </c>
      <c r="D10" s="17" t="inlineStr">
        <is>
          <t>Other</t>
        </is>
      </c>
      <c r="E10" s="19" t="n">
        <v>0</v>
      </c>
      <c r="F10" s="19" t="n">
        <v>0</v>
      </c>
      <c r="G10" s="21">
        <f>IF(D10="Other",E10,E10*F10)</f>
        <v/>
      </c>
      <c r="H10" s="19" t="n">
        <v>0.03</v>
      </c>
      <c r="I10" s="21">
        <f>G10-H10</f>
        <v/>
      </c>
      <c r="J10" s="20" t="inlineStr">
        <is>
          <t>No upside retained</t>
        </is>
      </c>
      <c r="K10" s="21">
        <f>I10*J10</f>
        <v/>
      </c>
      <c r="L10" s="19" t="n"/>
      <c r="M10" s="21">
        <f>K10-L10</f>
        <v/>
      </c>
      <c r="N10" s="21">
        <f>XLOOKUP(A10,tblOfficialMarks[Investment ID],tblOfficialMarks[New Official Value],0,0,-1)</f>
        <v/>
      </c>
      <c r="O10" s="21">
        <f>XLOOKUP(A10,tblInternalModel[Investment ID],tblInternalModel[Final Internal Value],0,0,-1)</f>
        <v/>
      </c>
      <c r="P10" s="21">
        <f>M10-N10</f>
        <v/>
      </c>
      <c r="Q10" s="21">
        <f>M10-O10</f>
        <v/>
      </c>
      <c r="R10" s="17" t="n"/>
    </row>
    <row r="11">
      <c r="A11" s="17" t="inlineStr">
        <is>
          <t>INV-008</t>
        </is>
      </c>
      <c r="B11" s="17" t="inlineStr">
        <is>
          <t>Solstice Payments</t>
        </is>
      </c>
      <c r="C11" s="18" t="n">
        <v>47118</v>
      </c>
      <c r="D11" s="17" t="inlineStr">
        <is>
          <t>Revenue</t>
        </is>
      </c>
      <c r="E11" s="19" t="n">
        <v>46000000</v>
      </c>
      <c r="F11" s="19" t="n">
        <v>7</v>
      </c>
      <c r="G11" s="21">
        <f>IF(D11="Other",E11,E11*F11)</f>
        <v/>
      </c>
      <c r="H11" s="19" t="n">
        <v>0.07000000000000001</v>
      </c>
      <c r="I11" s="21">
        <f>G11-H11</f>
        <v/>
      </c>
      <c r="J11" s="20" t="inlineStr">
        <is>
          <t>M&amp;A exit with modest transaction costs</t>
        </is>
      </c>
      <c r="K11" s="21">
        <f>I11*J11</f>
        <v/>
      </c>
      <c r="L11" s="19" t="n"/>
      <c r="M11" s="21">
        <f>K11-L11</f>
        <v/>
      </c>
      <c r="N11" s="21">
        <f>XLOOKUP(A11,tblOfficialMarks[Investment ID],tblOfficialMarks[New Official Value],0,0,-1)</f>
        <v/>
      </c>
      <c r="O11" s="21">
        <f>XLOOKUP(A11,tblInternalModel[Investment ID],tblInternalModel[Final Internal Value],0,0,-1)</f>
        <v/>
      </c>
      <c r="P11" s="21">
        <f>M11-N11</f>
        <v/>
      </c>
      <c r="Q11" s="21">
        <f>M11-O11</f>
        <v/>
      </c>
      <c r="R11" s="17" t="n"/>
    </row>
  </sheetData>
  <autoFilter ref="A3:R11"/>
  <mergeCells count="2">
    <mergeCell ref="A2:R2"/>
    <mergeCell ref="A1:R1"/>
  </mergeCells>
  <dataValidations count="1">
    <dataValidation sqref="D4:D11" showDropDown="0" showInputMessage="0" showErrorMessage="0" allowBlank="1" type="list">
      <formula1>"Revenue,EBITDA,Other"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18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6" customWidth="1" min="13" max="13"/>
    <col width="18" customWidth="1" min="14" max="14"/>
    <col width="18" customWidth="1" min="15" max="15"/>
  </cols>
  <sheetData>
    <row r="1">
      <c r="A1" s="16" t="inlineStr">
        <is>
          <t>Entity-Level Performance | Snapshot</t>
        </is>
      </c>
    </row>
    <row r="3">
      <c r="A3" s="6" t="inlineStr">
        <is>
          <t>Entity</t>
        </is>
      </c>
      <c r="B3" s="6" t="inlineStr">
        <is>
          <t>Total invested capital</t>
        </is>
      </c>
      <c r="C3" s="6" t="inlineStr">
        <is>
          <t>Total distributions</t>
        </is>
      </c>
      <c r="D3" s="6" t="inlineStr">
        <is>
          <t>Remaining cost basis</t>
        </is>
      </c>
      <c r="E3" s="6" t="inlineStr">
        <is>
          <t>Official NAV</t>
        </is>
      </c>
      <c r="F3" s="6" t="inlineStr">
        <is>
          <t>Internal NAV</t>
        </is>
      </c>
      <c r="G3" s="6" t="inlineStr">
        <is>
          <t>Exit Scenario NAV</t>
        </is>
      </c>
      <c r="H3" s="6" t="inlineStr">
        <is>
          <t>TVPI</t>
        </is>
      </c>
      <c r="I3" s="6" t="inlineStr">
        <is>
          <t>DPI</t>
        </is>
      </c>
      <c r="J3" s="6" t="inlineStr">
        <is>
          <t>RVPI</t>
        </is>
      </c>
      <c r="K3" s="6" t="inlineStr">
        <is>
          <t>Official XIRR</t>
        </is>
      </c>
      <c r="L3" s="6" t="inlineStr">
        <is>
          <t>Internal XIRR</t>
        </is>
      </c>
      <c r="M3" s="6" t="inlineStr">
        <is>
          <t>Exit Scenario XIRR</t>
        </is>
      </c>
      <c r="N3" s="6" t="inlineStr">
        <is>
          <t>Number of active investments</t>
        </is>
      </c>
      <c r="O3" s="6" t="inlineStr">
        <is>
          <t>Number of realized investments</t>
        </is>
      </c>
    </row>
    <row r="4">
      <c r="A4" s="7" t="inlineStr">
        <is>
          <t>Beaman Ventures</t>
        </is>
      </c>
      <c r="B4" s="21">
        <f>SUMIFS(tblCashFlows[Contribution Amount],tblCashFlows[Entity],A4)</f>
        <v/>
      </c>
      <c r="C4" s="21">
        <f>SUMIFS(tblCashFlows[Distribution Amount],tblCashFlows[Entity],A4)</f>
        <v/>
      </c>
      <c r="D4" s="21">
        <f>MAX(0,B4-C4)</f>
        <v/>
      </c>
      <c r="E4" s="21">
        <f>SUMPRODUCT(CHOOSE(MATCH(A4,EntityList,0),tblInvestments[Beaman Ventures %],tblInvestments[Lee Beaman %],tblInvestments[Kat Trust %],tblInvestments[Nat Trust %]),tblInvestments[Official current value])</f>
        <v/>
      </c>
      <c r="F4" s="21">
        <f>SUMPRODUCT(CHOOSE(MATCH(A4,EntityList,0),tblInvestments[Beaman Ventures %],tblInvestments[Lee Beaman %],tblInvestments[Kat Trust %],tblInvestments[Nat Trust %]),tblInvestments[Internal current value])</f>
        <v/>
      </c>
      <c r="G4" s="21">
        <f>SUMPRODUCT(CHOOSE(MATCH(A4,EntityList,0),tblInvestments[Beaman Ventures %],tblInvestments[Lee Beaman %],tblInvestments[Kat Trust %],tblInvestments[Nat Trust %]),tblInvestments[Exit scenario value])</f>
        <v/>
      </c>
      <c r="H4" s="22">
        <f>IFERROR((C4+E4)/B4,"")</f>
        <v/>
      </c>
      <c r="I4" s="22">
        <f>IFERROR(C4/B4,"")</f>
        <v/>
      </c>
      <c r="J4" s="22">
        <f>IFERROR(E4/B4,"")</f>
        <v/>
      </c>
      <c r="K4" s="22">
        <f>IFERROR(LET(cf,FILTER(tblCashFlows[Net Cash Flow],tblCashFlows[Entity]=A4),dt,FILTER(tblCashFlows[Transaction Date],tblCashFlows[Entity]=A4),XIRR(VSTACK(cf,N(E4)),VSTACK(dt,TODAY()))),"")</f>
        <v/>
      </c>
      <c r="L4" s="22">
        <f>IFERROR(LET(cf,FILTER(tblCashFlows[Net Cash Flow],tblCashFlows[Entity]=A4),dt,FILTER(tblCashFlows[Transaction Date],tblCashFlows[Entity]=A4),XIRR(VSTACK(cf,N(F4)),VSTACK(dt,TODAY()))),"")</f>
        <v/>
      </c>
      <c r="M4" s="22">
        <f>IFERROR(LET(cf,FILTER(tblCashFlows[Net Cash Flow],tblCashFlows[Entity]=A4),dt,FILTER(tblCashFlows[Transaction Date],tblCashFlows[Entity]=A4),XIRR(VSTACK(cf,N(G4)),VSTACK(dt,TODAY()))),"")</f>
        <v/>
      </c>
      <c r="N4" s="7">
        <f>SUMPRODUCT(--(CHOOSE(MATCH(A4,EntityList,0),tblInvestments[Beaman Ventures %],tblInvestments[Lee Beaman %],tblInvestments[Kat Trust %],tblInvestments[Nat Trust %])&gt;0),--((tblInvestments[Status]="Active")+(tblInvestments[Status]="Partially Realized")&gt;0))</f>
        <v/>
      </c>
      <c r="O4" s="7">
        <f>SUMPRODUCT(--(CHOOSE(MATCH(A4,EntityList,0),tblInvestments[Beaman Ventures %],tblInvestments[Lee Beaman %],tblInvestments[Kat Trust %],tblInvestments[Nat Trust %])&gt;0),--(tblInvestments[Status]="Realized"))</f>
        <v/>
      </c>
    </row>
    <row r="5">
      <c r="A5" s="7" t="inlineStr">
        <is>
          <t>Lee Beaman</t>
        </is>
      </c>
      <c r="B5" s="21">
        <f>SUMIFS(tblCashFlows[Contribution Amount],tblCashFlows[Entity],A5)</f>
        <v/>
      </c>
      <c r="C5" s="21">
        <f>SUMIFS(tblCashFlows[Distribution Amount],tblCashFlows[Entity],A5)</f>
        <v/>
      </c>
      <c r="D5" s="21">
        <f>MAX(0,B5-C5)</f>
        <v/>
      </c>
      <c r="E5" s="21">
        <f>SUMPRODUCT(CHOOSE(MATCH(A5,EntityList,0),tblInvestments[Beaman Ventures %],tblInvestments[Lee Beaman %],tblInvestments[Kat Trust %],tblInvestments[Nat Trust %]),tblInvestments[Official current value])</f>
        <v/>
      </c>
      <c r="F5" s="21">
        <f>SUMPRODUCT(CHOOSE(MATCH(A5,EntityList,0),tblInvestments[Beaman Ventures %],tblInvestments[Lee Beaman %],tblInvestments[Kat Trust %],tblInvestments[Nat Trust %]),tblInvestments[Internal current value])</f>
        <v/>
      </c>
      <c r="G5" s="21">
        <f>SUMPRODUCT(CHOOSE(MATCH(A5,EntityList,0),tblInvestments[Beaman Ventures %],tblInvestments[Lee Beaman %],tblInvestments[Kat Trust %],tblInvestments[Nat Trust %]),tblInvestments[Exit scenario value])</f>
        <v/>
      </c>
      <c r="H5" s="22">
        <f>IFERROR((C5+E5)/B5,"")</f>
        <v/>
      </c>
      <c r="I5" s="22">
        <f>IFERROR(C5/B5,"")</f>
        <v/>
      </c>
      <c r="J5" s="22">
        <f>IFERROR(E5/B5,"")</f>
        <v/>
      </c>
      <c r="K5" s="22">
        <f>IFERROR(LET(cf,FILTER(tblCashFlows[Net Cash Flow],tblCashFlows[Entity]=A5),dt,FILTER(tblCashFlows[Transaction Date],tblCashFlows[Entity]=A5),XIRR(VSTACK(cf,N(E5)),VSTACK(dt,TODAY()))),"")</f>
        <v/>
      </c>
      <c r="L5" s="22">
        <f>IFERROR(LET(cf,FILTER(tblCashFlows[Net Cash Flow],tblCashFlows[Entity]=A5),dt,FILTER(tblCashFlows[Transaction Date],tblCashFlows[Entity]=A5),XIRR(VSTACK(cf,N(F5)),VSTACK(dt,TODAY()))),"")</f>
        <v/>
      </c>
      <c r="M5" s="22">
        <f>IFERROR(LET(cf,FILTER(tblCashFlows[Net Cash Flow],tblCashFlows[Entity]=A5),dt,FILTER(tblCashFlows[Transaction Date],tblCashFlows[Entity]=A5),XIRR(VSTACK(cf,N(G5)),VSTACK(dt,TODAY()))),"")</f>
        <v/>
      </c>
      <c r="N5" s="7">
        <f>SUMPRODUCT(--(CHOOSE(MATCH(A5,EntityList,0),tblInvestments[Beaman Ventures %],tblInvestments[Lee Beaman %],tblInvestments[Kat Trust %],tblInvestments[Nat Trust %])&gt;0),--((tblInvestments[Status]="Active")+(tblInvestments[Status]="Partially Realized")&gt;0))</f>
        <v/>
      </c>
      <c r="O5" s="7">
        <f>SUMPRODUCT(--(CHOOSE(MATCH(A5,EntityList,0),tblInvestments[Beaman Ventures %],tblInvestments[Lee Beaman %],tblInvestments[Kat Trust %],tblInvestments[Nat Trust %])&gt;0),--(tblInvestments[Status]="Realized"))</f>
        <v/>
      </c>
    </row>
    <row r="6">
      <c r="A6" s="7" t="inlineStr">
        <is>
          <t>Kat Trust</t>
        </is>
      </c>
      <c r="B6" s="21">
        <f>SUMIFS(tblCashFlows[Contribution Amount],tblCashFlows[Entity],A6)</f>
        <v/>
      </c>
      <c r="C6" s="21">
        <f>SUMIFS(tblCashFlows[Distribution Amount],tblCashFlows[Entity],A6)</f>
        <v/>
      </c>
      <c r="D6" s="21">
        <f>MAX(0,B6-C6)</f>
        <v/>
      </c>
      <c r="E6" s="21">
        <f>SUMPRODUCT(CHOOSE(MATCH(A6,EntityList,0),tblInvestments[Beaman Ventures %],tblInvestments[Lee Beaman %],tblInvestments[Kat Trust %],tblInvestments[Nat Trust %]),tblInvestments[Official current value])</f>
        <v/>
      </c>
      <c r="F6" s="21">
        <f>SUMPRODUCT(CHOOSE(MATCH(A6,EntityList,0),tblInvestments[Beaman Ventures %],tblInvestments[Lee Beaman %],tblInvestments[Kat Trust %],tblInvestments[Nat Trust %]),tblInvestments[Internal current value])</f>
        <v/>
      </c>
      <c r="G6" s="21">
        <f>SUMPRODUCT(CHOOSE(MATCH(A6,EntityList,0),tblInvestments[Beaman Ventures %],tblInvestments[Lee Beaman %],tblInvestments[Kat Trust %],tblInvestments[Nat Trust %]),tblInvestments[Exit scenario value])</f>
        <v/>
      </c>
      <c r="H6" s="22">
        <f>IFERROR((C6+E6)/B6,"")</f>
        <v/>
      </c>
      <c r="I6" s="22">
        <f>IFERROR(C6/B6,"")</f>
        <v/>
      </c>
      <c r="J6" s="22">
        <f>IFERROR(E6/B6,"")</f>
        <v/>
      </c>
      <c r="K6" s="22">
        <f>IFERROR(LET(cf,FILTER(tblCashFlows[Net Cash Flow],tblCashFlows[Entity]=A6),dt,FILTER(tblCashFlows[Transaction Date],tblCashFlows[Entity]=A6),XIRR(VSTACK(cf,N(E6)),VSTACK(dt,TODAY()))),"")</f>
        <v/>
      </c>
      <c r="L6" s="22">
        <f>IFERROR(LET(cf,FILTER(tblCashFlows[Net Cash Flow],tblCashFlows[Entity]=A6),dt,FILTER(tblCashFlows[Transaction Date],tblCashFlows[Entity]=A6),XIRR(VSTACK(cf,N(F6)),VSTACK(dt,TODAY()))),"")</f>
        <v/>
      </c>
      <c r="M6" s="22">
        <f>IFERROR(LET(cf,FILTER(tblCashFlows[Net Cash Flow],tblCashFlows[Entity]=A6),dt,FILTER(tblCashFlows[Transaction Date],tblCashFlows[Entity]=A6),XIRR(VSTACK(cf,N(G6)),VSTACK(dt,TODAY()))),"")</f>
        <v/>
      </c>
      <c r="N6" s="7">
        <f>SUMPRODUCT(--(CHOOSE(MATCH(A6,EntityList,0),tblInvestments[Beaman Ventures %],tblInvestments[Lee Beaman %],tblInvestments[Kat Trust %],tblInvestments[Nat Trust %])&gt;0),--((tblInvestments[Status]="Active")+(tblInvestments[Status]="Partially Realized")&gt;0))</f>
        <v/>
      </c>
      <c r="O6" s="7">
        <f>SUMPRODUCT(--(CHOOSE(MATCH(A6,EntityList,0),tblInvestments[Beaman Ventures %],tblInvestments[Lee Beaman %],tblInvestments[Kat Trust %],tblInvestments[Nat Trust %])&gt;0),--(tblInvestments[Status]="Realized"))</f>
        <v/>
      </c>
    </row>
    <row r="7">
      <c r="A7" s="7" t="inlineStr">
        <is>
          <t>Nat Trust</t>
        </is>
      </c>
      <c r="B7" s="21">
        <f>SUMIFS(tblCashFlows[Contribution Amount],tblCashFlows[Entity],A7)</f>
        <v/>
      </c>
      <c r="C7" s="21">
        <f>SUMIFS(tblCashFlows[Distribution Amount],tblCashFlows[Entity],A7)</f>
        <v/>
      </c>
      <c r="D7" s="21">
        <f>MAX(0,B7-C7)</f>
        <v/>
      </c>
      <c r="E7" s="21">
        <f>SUMPRODUCT(CHOOSE(MATCH(A7,EntityList,0),tblInvestments[Beaman Ventures %],tblInvestments[Lee Beaman %],tblInvestments[Kat Trust %],tblInvestments[Nat Trust %]),tblInvestments[Official current value])</f>
        <v/>
      </c>
      <c r="F7" s="21">
        <f>SUMPRODUCT(CHOOSE(MATCH(A7,EntityList,0),tblInvestments[Beaman Ventures %],tblInvestments[Lee Beaman %],tblInvestments[Kat Trust %],tblInvestments[Nat Trust %]),tblInvestments[Internal current value])</f>
        <v/>
      </c>
      <c r="G7" s="21">
        <f>SUMPRODUCT(CHOOSE(MATCH(A7,EntityList,0),tblInvestments[Beaman Ventures %],tblInvestments[Lee Beaman %],tblInvestments[Kat Trust %],tblInvestments[Nat Trust %]),tblInvestments[Exit scenario value])</f>
        <v/>
      </c>
      <c r="H7" s="22">
        <f>IFERROR((C7+E7)/B7,"")</f>
        <v/>
      </c>
      <c r="I7" s="22">
        <f>IFERROR(C7/B7,"")</f>
        <v/>
      </c>
      <c r="J7" s="22">
        <f>IFERROR(E7/B7,"")</f>
        <v/>
      </c>
      <c r="K7" s="22">
        <f>IFERROR(LET(cf,FILTER(tblCashFlows[Net Cash Flow],tblCashFlows[Entity]=A7),dt,FILTER(tblCashFlows[Transaction Date],tblCashFlows[Entity]=A7),XIRR(VSTACK(cf,N(E7)),VSTACK(dt,TODAY()))),"")</f>
        <v/>
      </c>
      <c r="L7" s="22">
        <f>IFERROR(LET(cf,FILTER(tblCashFlows[Net Cash Flow],tblCashFlows[Entity]=A7),dt,FILTER(tblCashFlows[Transaction Date],tblCashFlows[Entity]=A7),XIRR(VSTACK(cf,N(F7)),VSTACK(dt,TODAY()))),"")</f>
        <v/>
      </c>
      <c r="M7" s="22">
        <f>IFERROR(LET(cf,FILTER(tblCashFlows[Net Cash Flow],tblCashFlows[Entity]=A7),dt,FILTER(tblCashFlows[Transaction Date],tblCashFlows[Entity]=A7),XIRR(VSTACK(cf,N(G7)),VSTACK(dt,TODAY()))),"")</f>
        <v/>
      </c>
      <c r="N7" s="7">
        <f>SUMPRODUCT(--(CHOOSE(MATCH(A7,EntityList,0),tblInvestments[Beaman Ventures %],tblInvestments[Lee Beaman %],tblInvestments[Kat Trust %],tblInvestments[Nat Trust %])&gt;0),--((tblInvestments[Status]="Active")+(tblInvestments[Status]="Partially Realized")&gt;0))</f>
        <v/>
      </c>
      <c r="O7" s="7">
        <f>SUMPRODUCT(--(CHOOSE(MATCH(A7,EntityList,0),tblInvestments[Beaman Ventures %],tblInvestments[Lee Beaman %],tblInvestments[Kat Trust %],tblInvestments[Nat Trust %])&gt;0),--(tblInvestments[Status]="Realized"))</f>
        <v/>
      </c>
    </row>
    <row r="8">
      <c r="A8" s="7" t="n"/>
      <c r="B8" s="21" t="n"/>
      <c r="C8" s="21" t="n"/>
      <c r="D8" s="21" t="n"/>
      <c r="E8" s="21" t="n"/>
      <c r="F8" s="21" t="n"/>
      <c r="G8" s="21" t="n"/>
      <c r="H8" s="22" t="n"/>
      <c r="I8" s="22" t="n"/>
      <c r="J8" s="22" t="n"/>
      <c r="K8" s="22" t="n"/>
      <c r="L8" s="22" t="n"/>
      <c r="M8" s="22" t="n"/>
      <c r="N8" s="7" t="n"/>
      <c r="O8" s="7" t="n"/>
    </row>
    <row r="9">
      <c r="A9" s="7" t="n"/>
      <c r="B9" s="21" t="n"/>
      <c r="C9" s="21" t="n"/>
      <c r="D9" s="21" t="n"/>
      <c r="E9" s="21" t="n"/>
      <c r="F9" s="21" t="n"/>
      <c r="G9" s="21" t="n"/>
      <c r="H9" s="22" t="n"/>
      <c r="I9" s="22" t="n"/>
      <c r="J9" s="22" t="n"/>
      <c r="K9" s="22" t="n"/>
      <c r="L9" s="22" t="n"/>
      <c r="M9" s="22" t="n"/>
      <c r="N9" s="7" t="n"/>
      <c r="O9" s="7" t="n"/>
    </row>
    <row r="10">
      <c r="A10" s="23" t="inlineStr">
        <is>
          <t>Annualized view by calendar year</t>
        </is>
      </c>
      <c r="B10" s="21" t="n"/>
      <c r="C10" s="21" t="n"/>
      <c r="D10" s="21" t="n"/>
      <c r="E10" s="21" t="n"/>
      <c r="F10" s="21" t="n"/>
      <c r="G10" s="21" t="n"/>
      <c r="H10" s="22" t="n"/>
      <c r="I10" s="22" t="n"/>
      <c r="J10" s="22" t="n"/>
      <c r="K10" s="22" t="n"/>
      <c r="L10" s="22" t="n"/>
      <c r="M10" s="22" t="n"/>
      <c r="N10" s="7" t="n"/>
      <c r="O10" s="7" t="n"/>
    </row>
    <row r="11">
      <c r="A11" s="24" t="inlineStr">
        <is>
          <t>Year</t>
        </is>
      </c>
      <c r="B11" s="25" t="inlineStr">
        <is>
          <t>Entity</t>
        </is>
      </c>
      <c r="C11" s="25" t="inlineStr">
        <is>
          <t>Contributions</t>
        </is>
      </c>
      <c r="D11" s="25" t="inlineStr">
        <is>
          <t>Distributions</t>
        </is>
      </c>
      <c r="E11" s="25" t="inlineStr">
        <is>
          <t>Net Cash Flow</t>
        </is>
      </c>
      <c r="F11" s="21" t="n"/>
      <c r="G11" s="21" t="n"/>
      <c r="H11" s="22" t="n"/>
      <c r="I11" s="22" t="n"/>
      <c r="J11" s="22" t="n"/>
      <c r="K11" s="22" t="n"/>
      <c r="L11" s="22" t="n"/>
      <c r="M11" s="22" t="n"/>
      <c r="N11" s="7" t="n"/>
      <c r="O11" s="7" t="n"/>
    </row>
    <row r="12">
      <c r="A12" s="7" t="n">
        <v>2018</v>
      </c>
      <c r="B12" s="21" t="inlineStr">
        <is>
          <t>Beaman Ventures</t>
        </is>
      </c>
      <c r="C12" s="21">
        <f>SUMIFS(tblCashFlows[Contribution Amount],tblCashFlows[Entity],B12,tblCashFlows[Transaction Date],"&gt;="&amp;DATE(A12,1,1),tblCashFlows[Transaction Date],"&lt;"&amp;DATE(A12+1,1,1))</f>
        <v/>
      </c>
      <c r="D12" s="21">
        <f>SUMIFS(tblCashFlows[Distribution Amount],tblCashFlows[Entity],B12,tblCashFlows[Transaction Date],"&gt;="&amp;DATE(A12,1,1),tblCashFlows[Transaction Date],"&lt;"&amp;DATE(A12+1,1,1))</f>
        <v/>
      </c>
      <c r="E12" s="21">
        <f>D12-C12</f>
        <v/>
      </c>
      <c r="F12" s="21" t="n"/>
      <c r="G12" s="21" t="n"/>
      <c r="H12" s="22" t="n"/>
      <c r="I12" s="22" t="n"/>
      <c r="J12" s="22" t="n"/>
      <c r="K12" s="22" t="n"/>
      <c r="L12" s="22" t="n"/>
      <c r="M12" s="22" t="n"/>
      <c r="N12" s="7" t="n"/>
      <c r="O12" s="7" t="n"/>
    </row>
    <row r="13">
      <c r="A13" s="7" t="n">
        <v>2018</v>
      </c>
      <c r="B13" s="21" t="inlineStr">
        <is>
          <t>Lee Beaman</t>
        </is>
      </c>
      <c r="C13" s="21">
        <f>SUMIFS(tblCashFlows[Contribution Amount],tblCashFlows[Entity],B13,tblCashFlows[Transaction Date],"&gt;="&amp;DATE(A13,1,1),tblCashFlows[Transaction Date],"&lt;"&amp;DATE(A13+1,1,1))</f>
        <v/>
      </c>
      <c r="D13" s="21">
        <f>SUMIFS(tblCashFlows[Distribution Amount],tblCashFlows[Entity],B13,tblCashFlows[Transaction Date],"&gt;="&amp;DATE(A13,1,1),tblCashFlows[Transaction Date],"&lt;"&amp;DATE(A13+1,1,1))</f>
        <v/>
      </c>
      <c r="E13" s="21">
        <f>D13-C13</f>
        <v/>
      </c>
      <c r="F13" s="21" t="n"/>
      <c r="G13" s="21" t="n"/>
      <c r="H13" s="22" t="n"/>
      <c r="I13" s="22" t="n"/>
      <c r="J13" s="22" t="n"/>
      <c r="K13" s="22" t="n"/>
      <c r="L13" s="22" t="n"/>
      <c r="M13" s="22" t="n"/>
      <c r="N13" s="7" t="n"/>
      <c r="O13" s="7" t="n"/>
    </row>
    <row r="14">
      <c r="A14" s="7" t="n">
        <v>2018</v>
      </c>
      <c r="B14" s="21" t="inlineStr">
        <is>
          <t>Kat Trust</t>
        </is>
      </c>
      <c r="C14" s="21">
        <f>SUMIFS(tblCashFlows[Contribution Amount],tblCashFlows[Entity],B14,tblCashFlows[Transaction Date],"&gt;="&amp;DATE(A14,1,1),tblCashFlows[Transaction Date],"&lt;"&amp;DATE(A14+1,1,1))</f>
        <v/>
      </c>
      <c r="D14" s="21">
        <f>SUMIFS(tblCashFlows[Distribution Amount],tblCashFlows[Entity],B14,tblCashFlows[Transaction Date],"&gt;="&amp;DATE(A14,1,1),tblCashFlows[Transaction Date],"&lt;"&amp;DATE(A14+1,1,1))</f>
        <v/>
      </c>
      <c r="E14" s="21">
        <f>D14-C14</f>
        <v/>
      </c>
      <c r="F14" s="21" t="n"/>
      <c r="G14" s="21" t="n"/>
      <c r="H14" s="22" t="n"/>
      <c r="I14" s="22" t="n"/>
      <c r="J14" s="22" t="n"/>
      <c r="K14" s="22" t="n"/>
      <c r="L14" s="22" t="n"/>
      <c r="M14" s="22" t="n"/>
      <c r="N14" s="7" t="n"/>
      <c r="O14" s="7" t="n"/>
    </row>
    <row r="15">
      <c r="A15" s="7" t="n">
        <v>2018</v>
      </c>
      <c r="B15" s="21" t="inlineStr">
        <is>
          <t>Nat Trust</t>
        </is>
      </c>
      <c r="C15" s="21">
        <f>SUMIFS(tblCashFlows[Contribution Amount],tblCashFlows[Entity],B15,tblCashFlows[Transaction Date],"&gt;="&amp;DATE(A15,1,1),tblCashFlows[Transaction Date],"&lt;"&amp;DATE(A15+1,1,1))</f>
        <v/>
      </c>
      <c r="D15" s="21">
        <f>SUMIFS(tblCashFlows[Distribution Amount],tblCashFlows[Entity],B15,tblCashFlows[Transaction Date],"&gt;="&amp;DATE(A15,1,1),tblCashFlows[Transaction Date],"&lt;"&amp;DATE(A15+1,1,1))</f>
        <v/>
      </c>
      <c r="E15" s="21">
        <f>D15-C15</f>
        <v/>
      </c>
      <c r="F15" s="21" t="n"/>
      <c r="G15" s="21" t="n"/>
      <c r="H15" s="22" t="n"/>
      <c r="I15" s="22" t="n"/>
      <c r="J15" s="22" t="n"/>
      <c r="K15" s="22" t="n"/>
      <c r="L15" s="22" t="n"/>
      <c r="M15" s="22" t="n"/>
      <c r="N15" s="7" t="n"/>
      <c r="O15" s="7" t="n"/>
    </row>
    <row r="16">
      <c r="A16" s="7" t="n">
        <v>2019</v>
      </c>
      <c r="B16" s="21" t="inlineStr">
        <is>
          <t>Beaman Ventures</t>
        </is>
      </c>
      <c r="C16" s="21">
        <f>SUMIFS(tblCashFlows[Contribution Amount],tblCashFlows[Entity],B16,tblCashFlows[Transaction Date],"&gt;="&amp;DATE(A16,1,1),tblCashFlows[Transaction Date],"&lt;"&amp;DATE(A16+1,1,1))</f>
        <v/>
      </c>
      <c r="D16" s="21">
        <f>SUMIFS(tblCashFlows[Distribution Amount],tblCashFlows[Entity],B16,tblCashFlows[Transaction Date],"&gt;="&amp;DATE(A16,1,1),tblCashFlows[Transaction Date],"&lt;"&amp;DATE(A16+1,1,1))</f>
        <v/>
      </c>
      <c r="E16" s="21">
        <f>D16-C16</f>
        <v/>
      </c>
      <c r="F16" s="21" t="n"/>
      <c r="G16" s="21" t="n"/>
      <c r="H16" s="22" t="n"/>
      <c r="I16" s="22" t="n"/>
      <c r="J16" s="22" t="n"/>
      <c r="K16" s="22" t="n"/>
      <c r="L16" s="22" t="n"/>
      <c r="M16" s="22" t="n"/>
      <c r="N16" s="7" t="n"/>
      <c r="O16" s="7" t="n"/>
    </row>
    <row r="17">
      <c r="A17" s="7" t="n">
        <v>2019</v>
      </c>
      <c r="B17" s="21" t="inlineStr">
        <is>
          <t>Lee Beaman</t>
        </is>
      </c>
      <c r="C17" s="21">
        <f>SUMIFS(tblCashFlows[Contribution Amount],tblCashFlows[Entity],B17,tblCashFlows[Transaction Date],"&gt;="&amp;DATE(A17,1,1),tblCashFlows[Transaction Date],"&lt;"&amp;DATE(A17+1,1,1))</f>
        <v/>
      </c>
      <c r="D17" s="21">
        <f>SUMIFS(tblCashFlows[Distribution Amount],tblCashFlows[Entity],B17,tblCashFlows[Transaction Date],"&gt;="&amp;DATE(A17,1,1),tblCashFlows[Transaction Date],"&lt;"&amp;DATE(A17+1,1,1))</f>
        <v/>
      </c>
      <c r="E17" s="21">
        <f>D17-C17</f>
        <v/>
      </c>
      <c r="F17" s="21" t="n"/>
      <c r="G17" s="21" t="n"/>
      <c r="H17" s="22" t="n"/>
      <c r="I17" s="22" t="n"/>
      <c r="J17" s="22" t="n"/>
      <c r="K17" s="22" t="n"/>
      <c r="L17" s="22" t="n"/>
      <c r="M17" s="22" t="n"/>
      <c r="N17" s="7" t="n"/>
      <c r="O17" s="7" t="n"/>
    </row>
    <row r="18">
      <c r="A18" s="7" t="n">
        <v>2019</v>
      </c>
      <c r="B18" s="21" t="inlineStr">
        <is>
          <t>Kat Trust</t>
        </is>
      </c>
      <c r="C18" s="21">
        <f>SUMIFS(tblCashFlows[Contribution Amount],tblCashFlows[Entity],B18,tblCashFlows[Transaction Date],"&gt;="&amp;DATE(A18,1,1),tblCashFlows[Transaction Date],"&lt;"&amp;DATE(A18+1,1,1))</f>
        <v/>
      </c>
      <c r="D18" s="21">
        <f>SUMIFS(tblCashFlows[Distribution Amount],tblCashFlows[Entity],B18,tblCashFlows[Transaction Date],"&gt;="&amp;DATE(A18,1,1),tblCashFlows[Transaction Date],"&lt;"&amp;DATE(A18+1,1,1))</f>
        <v/>
      </c>
      <c r="E18" s="21">
        <f>D18-C18</f>
        <v/>
      </c>
      <c r="F18" s="21" t="n"/>
      <c r="G18" s="21" t="n"/>
      <c r="H18" s="22" t="n"/>
      <c r="I18" s="22" t="n"/>
      <c r="J18" s="22" t="n"/>
      <c r="K18" s="22" t="n"/>
      <c r="L18" s="22" t="n"/>
      <c r="M18" s="22" t="n"/>
      <c r="N18" s="7" t="n"/>
      <c r="O18" s="7" t="n"/>
    </row>
    <row r="19">
      <c r="A19" s="7" t="n">
        <v>2019</v>
      </c>
      <c r="B19" s="21" t="inlineStr">
        <is>
          <t>Nat Trust</t>
        </is>
      </c>
      <c r="C19" s="21">
        <f>SUMIFS(tblCashFlows[Contribution Amount],tblCashFlows[Entity],B19,tblCashFlows[Transaction Date],"&gt;="&amp;DATE(A19,1,1),tblCashFlows[Transaction Date],"&lt;"&amp;DATE(A19+1,1,1))</f>
        <v/>
      </c>
      <c r="D19" s="21">
        <f>SUMIFS(tblCashFlows[Distribution Amount],tblCashFlows[Entity],B19,tblCashFlows[Transaction Date],"&gt;="&amp;DATE(A19,1,1),tblCashFlows[Transaction Date],"&lt;"&amp;DATE(A19+1,1,1))</f>
        <v/>
      </c>
      <c r="E19" s="21">
        <f>D19-C19</f>
        <v/>
      </c>
      <c r="F19" s="21" t="n"/>
      <c r="G19" s="21" t="n"/>
      <c r="H19" s="22" t="n"/>
      <c r="I19" s="22" t="n"/>
      <c r="J19" s="22" t="n"/>
      <c r="K19" s="22" t="n"/>
      <c r="L19" s="22" t="n"/>
      <c r="M19" s="22" t="n"/>
      <c r="N19" s="7" t="n"/>
      <c r="O19" s="7" t="n"/>
    </row>
    <row r="20">
      <c r="A20" s="7" t="n">
        <v>2020</v>
      </c>
      <c r="B20" s="21" t="inlineStr">
        <is>
          <t>Beaman Ventures</t>
        </is>
      </c>
      <c r="C20" s="21">
        <f>SUMIFS(tblCashFlows[Contribution Amount],tblCashFlows[Entity],B20,tblCashFlows[Transaction Date],"&gt;="&amp;DATE(A20,1,1),tblCashFlows[Transaction Date],"&lt;"&amp;DATE(A20+1,1,1))</f>
        <v/>
      </c>
      <c r="D20" s="21">
        <f>SUMIFS(tblCashFlows[Distribution Amount],tblCashFlows[Entity],B20,tblCashFlows[Transaction Date],"&gt;="&amp;DATE(A20,1,1),tblCashFlows[Transaction Date],"&lt;"&amp;DATE(A20+1,1,1))</f>
        <v/>
      </c>
      <c r="E20" s="21">
        <f>D20-C20</f>
        <v/>
      </c>
      <c r="F20" s="21" t="n"/>
      <c r="G20" s="21" t="n"/>
      <c r="H20" s="22" t="n"/>
      <c r="I20" s="22" t="n"/>
      <c r="J20" s="22" t="n"/>
      <c r="K20" s="22" t="n"/>
      <c r="L20" s="22" t="n"/>
      <c r="M20" s="22" t="n"/>
      <c r="N20" s="7" t="n"/>
      <c r="O20" s="7" t="n"/>
    </row>
    <row r="21">
      <c r="A21" s="7" t="n">
        <v>2020</v>
      </c>
      <c r="B21" s="21" t="inlineStr">
        <is>
          <t>Lee Beaman</t>
        </is>
      </c>
      <c r="C21" s="21">
        <f>SUMIFS(tblCashFlows[Contribution Amount],tblCashFlows[Entity],B21,tblCashFlows[Transaction Date],"&gt;="&amp;DATE(A21,1,1),tblCashFlows[Transaction Date],"&lt;"&amp;DATE(A21+1,1,1))</f>
        <v/>
      </c>
      <c r="D21" s="21">
        <f>SUMIFS(tblCashFlows[Distribution Amount],tblCashFlows[Entity],B21,tblCashFlows[Transaction Date],"&gt;="&amp;DATE(A21,1,1),tblCashFlows[Transaction Date],"&lt;"&amp;DATE(A21+1,1,1))</f>
        <v/>
      </c>
      <c r="E21" s="21">
        <f>D21-C21</f>
        <v/>
      </c>
      <c r="F21" s="21" t="n"/>
      <c r="G21" s="21" t="n"/>
      <c r="H21" s="22" t="n"/>
      <c r="I21" s="22" t="n"/>
      <c r="J21" s="22" t="n"/>
      <c r="K21" s="22" t="n"/>
      <c r="L21" s="22" t="n"/>
      <c r="M21" s="22" t="n"/>
      <c r="N21" s="7" t="n"/>
      <c r="O21" s="7" t="n"/>
    </row>
    <row r="22">
      <c r="A22" s="7" t="n">
        <v>2020</v>
      </c>
      <c r="B22" s="21" t="inlineStr">
        <is>
          <t>Kat Trust</t>
        </is>
      </c>
      <c r="C22" s="21">
        <f>SUMIFS(tblCashFlows[Contribution Amount],tblCashFlows[Entity],B22,tblCashFlows[Transaction Date],"&gt;="&amp;DATE(A22,1,1),tblCashFlows[Transaction Date],"&lt;"&amp;DATE(A22+1,1,1))</f>
        <v/>
      </c>
      <c r="D22" s="21">
        <f>SUMIFS(tblCashFlows[Distribution Amount],tblCashFlows[Entity],B22,tblCashFlows[Transaction Date],"&gt;="&amp;DATE(A22,1,1),tblCashFlows[Transaction Date],"&lt;"&amp;DATE(A22+1,1,1))</f>
        <v/>
      </c>
      <c r="E22" s="21">
        <f>D22-C22</f>
        <v/>
      </c>
      <c r="F22" s="21" t="n"/>
      <c r="G22" s="21" t="n"/>
      <c r="H22" s="22" t="n"/>
      <c r="I22" s="22" t="n"/>
      <c r="J22" s="22" t="n"/>
      <c r="K22" s="22" t="n"/>
      <c r="L22" s="22" t="n"/>
      <c r="M22" s="22" t="n"/>
      <c r="N22" s="7" t="n"/>
      <c r="O22" s="7" t="n"/>
    </row>
    <row r="23">
      <c r="A23" s="7" t="n">
        <v>2020</v>
      </c>
      <c r="B23" s="21" t="inlineStr">
        <is>
          <t>Nat Trust</t>
        </is>
      </c>
      <c r="C23" s="21">
        <f>SUMIFS(tblCashFlows[Contribution Amount],tblCashFlows[Entity],B23,tblCashFlows[Transaction Date],"&gt;="&amp;DATE(A23,1,1),tblCashFlows[Transaction Date],"&lt;"&amp;DATE(A23+1,1,1))</f>
        <v/>
      </c>
      <c r="D23" s="21">
        <f>SUMIFS(tblCashFlows[Distribution Amount],tblCashFlows[Entity],B23,tblCashFlows[Transaction Date],"&gt;="&amp;DATE(A23,1,1),tblCashFlows[Transaction Date],"&lt;"&amp;DATE(A23+1,1,1))</f>
        <v/>
      </c>
      <c r="E23" s="21">
        <f>D23-C23</f>
        <v/>
      </c>
      <c r="F23" s="21" t="n"/>
      <c r="G23" s="21" t="n"/>
      <c r="H23" s="22" t="n"/>
      <c r="I23" s="22" t="n"/>
      <c r="J23" s="22" t="n"/>
      <c r="K23" s="22" t="n"/>
      <c r="L23" s="22" t="n"/>
      <c r="M23" s="22" t="n"/>
      <c r="N23" s="7" t="n"/>
      <c r="O23" s="7" t="n"/>
    </row>
    <row r="24">
      <c r="A24" s="7" t="n">
        <v>2021</v>
      </c>
      <c r="B24" s="21" t="inlineStr">
        <is>
          <t>Beaman Ventures</t>
        </is>
      </c>
      <c r="C24" s="21">
        <f>SUMIFS(tblCashFlows[Contribution Amount],tblCashFlows[Entity],B24,tblCashFlows[Transaction Date],"&gt;="&amp;DATE(A24,1,1),tblCashFlows[Transaction Date],"&lt;"&amp;DATE(A24+1,1,1))</f>
        <v/>
      </c>
      <c r="D24" s="21">
        <f>SUMIFS(tblCashFlows[Distribution Amount],tblCashFlows[Entity],B24,tblCashFlows[Transaction Date],"&gt;="&amp;DATE(A24,1,1),tblCashFlows[Transaction Date],"&lt;"&amp;DATE(A24+1,1,1))</f>
        <v/>
      </c>
      <c r="E24" s="21">
        <f>D24-C24</f>
        <v/>
      </c>
      <c r="F24" s="21" t="n"/>
      <c r="G24" s="21" t="n"/>
      <c r="H24" s="22" t="n"/>
      <c r="I24" s="22" t="n"/>
      <c r="J24" s="22" t="n"/>
      <c r="K24" s="22" t="n"/>
      <c r="L24" s="22" t="n"/>
      <c r="M24" s="22" t="n"/>
      <c r="N24" s="7" t="n"/>
      <c r="O24" s="7" t="n"/>
    </row>
    <row r="25">
      <c r="A25" s="7" t="n">
        <v>2021</v>
      </c>
      <c r="B25" s="21" t="inlineStr">
        <is>
          <t>Lee Beaman</t>
        </is>
      </c>
      <c r="C25" s="21">
        <f>SUMIFS(tblCashFlows[Contribution Amount],tblCashFlows[Entity],B25,tblCashFlows[Transaction Date],"&gt;="&amp;DATE(A25,1,1),tblCashFlows[Transaction Date],"&lt;"&amp;DATE(A25+1,1,1))</f>
        <v/>
      </c>
      <c r="D25" s="21">
        <f>SUMIFS(tblCashFlows[Distribution Amount],tblCashFlows[Entity],B25,tblCashFlows[Transaction Date],"&gt;="&amp;DATE(A25,1,1),tblCashFlows[Transaction Date],"&lt;"&amp;DATE(A25+1,1,1))</f>
        <v/>
      </c>
      <c r="E25" s="21">
        <f>D25-C25</f>
        <v/>
      </c>
      <c r="F25" s="21" t="n"/>
      <c r="G25" s="21" t="n"/>
      <c r="H25" s="22" t="n"/>
      <c r="I25" s="22" t="n"/>
      <c r="J25" s="22" t="n"/>
      <c r="K25" s="22" t="n"/>
      <c r="L25" s="22" t="n"/>
      <c r="M25" s="22" t="n"/>
      <c r="N25" s="7" t="n"/>
      <c r="O25" s="7" t="n"/>
    </row>
    <row r="26">
      <c r="A26" s="7" t="n">
        <v>2021</v>
      </c>
      <c r="B26" s="21" t="inlineStr">
        <is>
          <t>Kat Trust</t>
        </is>
      </c>
      <c r="C26" s="21">
        <f>SUMIFS(tblCashFlows[Contribution Amount],tblCashFlows[Entity],B26,tblCashFlows[Transaction Date],"&gt;="&amp;DATE(A26,1,1),tblCashFlows[Transaction Date],"&lt;"&amp;DATE(A26+1,1,1))</f>
        <v/>
      </c>
      <c r="D26" s="21">
        <f>SUMIFS(tblCashFlows[Distribution Amount],tblCashFlows[Entity],B26,tblCashFlows[Transaction Date],"&gt;="&amp;DATE(A26,1,1),tblCashFlows[Transaction Date],"&lt;"&amp;DATE(A26+1,1,1))</f>
        <v/>
      </c>
      <c r="E26" s="21">
        <f>D26-C26</f>
        <v/>
      </c>
      <c r="F26" s="21" t="n"/>
      <c r="G26" s="21" t="n"/>
      <c r="H26" s="22" t="n"/>
      <c r="I26" s="22" t="n"/>
      <c r="J26" s="22" t="n"/>
      <c r="K26" s="22" t="n"/>
      <c r="L26" s="22" t="n"/>
      <c r="M26" s="22" t="n"/>
      <c r="N26" s="7" t="n"/>
      <c r="O26" s="7" t="n"/>
    </row>
    <row r="27">
      <c r="A27" s="7" t="n">
        <v>2021</v>
      </c>
      <c r="B27" s="21" t="inlineStr">
        <is>
          <t>Nat Trust</t>
        </is>
      </c>
      <c r="C27" s="21">
        <f>SUMIFS(tblCashFlows[Contribution Amount],tblCashFlows[Entity],B27,tblCashFlows[Transaction Date],"&gt;="&amp;DATE(A27,1,1),tblCashFlows[Transaction Date],"&lt;"&amp;DATE(A27+1,1,1))</f>
        <v/>
      </c>
      <c r="D27" s="21">
        <f>SUMIFS(tblCashFlows[Distribution Amount],tblCashFlows[Entity],B27,tblCashFlows[Transaction Date],"&gt;="&amp;DATE(A27,1,1),tblCashFlows[Transaction Date],"&lt;"&amp;DATE(A27+1,1,1))</f>
        <v/>
      </c>
      <c r="E27" s="21">
        <f>D27-C27</f>
        <v/>
      </c>
      <c r="F27" s="21" t="n"/>
      <c r="G27" s="21" t="n"/>
      <c r="H27" s="22" t="n"/>
      <c r="I27" s="22" t="n"/>
      <c r="J27" s="22" t="n"/>
      <c r="K27" s="22" t="n"/>
      <c r="L27" s="22" t="n"/>
      <c r="M27" s="22" t="n"/>
      <c r="N27" s="7" t="n"/>
      <c r="O27" s="7" t="n"/>
    </row>
    <row r="28">
      <c r="A28" s="7" t="n">
        <v>2022</v>
      </c>
      <c r="B28" s="21" t="inlineStr">
        <is>
          <t>Beaman Ventures</t>
        </is>
      </c>
      <c r="C28" s="21">
        <f>SUMIFS(tblCashFlows[Contribution Amount],tblCashFlows[Entity],B28,tblCashFlows[Transaction Date],"&gt;="&amp;DATE(A28,1,1),tblCashFlows[Transaction Date],"&lt;"&amp;DATE(A28+1,1,1))</f>
        <v/>
      </c>
      <c r="D28" s="21">
        <f>SUMIFS(tblCashFlows[Distribution Amount],tblCashFlows[Entity],B28,tblCashFlows[Transaction Date],"&gt;="&amp;DATE(A28,1,1),tblCashFlows[Transaction Date],"&lt;"&amp;DATE(A28+1,1,1))</f>
        <v/>
      </c>
      <c r="E28" s="21">
        <f>D28-C28</f>
        <v/>
      </c>
      <c r="F28" s="21" t="n"/>
      <c r="G28" s="21" t="n"/>
      <c r="H28" s="22" t="n"/>
      <c r="I28" s="22" t="n"/>
      <c r="J28" s="22" t="n"/>
      <c r="K28" s="22" t="n"/>
      <c r="L28" s="22" t="n"/>
      <c r="M28" s="22" t="n"/>
      <c r="N28" s="7" t="n"/>
      <c r="O28" s="7" t="n"/>
    </row>
    <row r="29">
      <c r="A29" s="7" t="n">
        <v>2022</v>
      </c>
      <c r="B29" s="21" t="inlineStr">
        <is>
          <t>Lee Beaman</t>
        </is>
      </c>
      <c r="C29" s="21">
        <f>SUMIFS(tblCashFlows[Contribution Amount],tblCashFlows[Entity],B29,tblCashFlows[Transaction Date],"&gt;="&amp;DATE(A29,1,1),tblCashFlows[Transaction Date],"&lt;"&amp;DATE(A29+1,1,1))</f>
        <v/>
      </c>
      <c r="D29" s="21">
        <f>SUMIFS(tblCashFlows[Distribution Amount],tblCashFlows[Entity],B29,tblCashFlows[Transaction Date],"&gt;="&amp;DATE(A29,1,1),tblCashFlows[Transaction Date],"&lt;"&amp;DATE(A29+1,1,1))</f>
        <v/>
      </c>
      <c r="E29" s="21">
        <f>D29-C29</f>
        <v/>
      </c>
      <c r="F29" s="21" t="n"/>
      <c r="G29" s="21" t="n"/>
      <c r="H29" s="22" t="n"/>
      <c r="I29" s="22" t="n"/>
      <c r="J29" s="22" t="n"/>
      <c r="K29" s="22" t="n"/>
      <c r="L29" s="22" t="n"/>
      <c r="M29" s="22" t="n"/>
      <c r="N29" s="7" t="n"/>
      <c r="O29" s="7" t="n"/>
    </row>
    <row r="30">
      <c r="A30" s="7" t="n">
        <v>2022</v>
      </c>
      <c r="B30" s="21" t="inlineStr">
        <is>
          <t>Kat Trust</t>
        </is>
      </c>
      <c r="C30" s="21">
        <f>SUMIFS(tblCashFlows[Contribution Amount],tblCashFlows[Entity],B30,tblCashFlows[Transaction Date],"&gt;="&amp;DATE(A30,1,1),tblCashFlows[Transaction Date],"&lt;"&amp;DATE(A30+1,1,1))</f>
        <v/>
      </c>
      <c r="D30" s="21">
        <f>SUMIFS(tblCashFlows[Distribution Amount],tblCashFlows[Entity],B30,tblCashFlows[Transaction Date],"&gt;="&amp;DATE(A30,1,1),tblCashFlows[Transaction Date],"&lt;"&amp;DATE(A30+1,1,1))</f>
        <v/>
      </c>
      <c r="E30" s="21">
        <f>D30-C30</f>
        <v/>
      </c>
      <c r="F30" s="21" t="n"/>
      <c r="G30" s="21" t="n"/>
      <c r="H30" s="22" t="n"/>
      <c r="I30" s="22" t="n"/>
      <c r="J30" s="22" t="n"/>
      <c r="K30" s="22" t="n"/>
      <c r="L30" s="22" t="n"/>
      <c r="M30" s="22" t="n"/>
      <c r="N30" s="7" t="n"/>
      <c r="O30" s="7" t="n"/>
    </row>
    <row r="31">
      <c r="A31" s="7" t="n">
        <v>2022</v>
      </c>
      <c r="B31" s="21" t="inlineStr">
        <is>
          <t>Nat Trust</t>
        </is>
      </c>
      <c r="C31" s="21">
        <f>SUMIFS(tblCashFlows[Contribution Amount],tblCashFlows[Entity],B31,tblCashFlows[Transaction Date],"&gt;="&amp;DATE(A31,1,1),tblCashFlows[Transaction Date],"&lt;"&amp;DATE(A31+1,1,1))</f>
        <v/>
      </c>
      <c r="D31" s="21">
        <f>SUMIFS(tblCashFlows[Distribution Amount],tblCashFlows[Entity],B31,tblCashFlows[Transaction Date],"&gt;="&amp;DATE(A31,1,1),tblCashFlows[Transaction Date],"&lt;"&amp;DATE(A31+1,1,1))</f>
        <v/>
      </c>
      <c r="E31" s="21">
        <f>D31-C31</f>
        <v/>
      </c>
      <c r="F31" s="21" t="n"/>
      <c r="G31" s="21" t="n"/>
      <c r="H31" s="22" t="n"/>
      <c r="I31" s="22" t="n"/>
      <c r="J31" s="22" t="n"/>
      <c r="K31" s="22" t="n"/>
      <c r="L31" s="22" t="n"/>
      <c r="M31" s="22" t="n"/>
      <c r="N31" s="7" t="n"/>
      <c r="O31" s="7" t="n"/>
    </row>
    <row r="32">
      <c r="A32" s="7" t="n">
        <v>2023</v>
      </c>
      <c r="B32" s="21" t="inlineStr">
        <is>
          <t>Beaman Ventures</t>
        </is>
      </c>
      <c r="C32" s="21">
        <f>SUMIFS(tblCashFlows[Contribution Amount],tblCashFlows[Entity],B32,tblCashFlows[Transaction Date],"&gt;="&amp;DATE(A32,1,1),tblCashFlows[Transaction Date],"&lt;"&amp;DATE(A32+1,1,1))</f>
        <v/>
      </c>
      <c r="D32" s="21">
        <f>SUMIFS(tblCashFlows[Distribution Amount],tblCashFlows[Entity],B32,tblCashFlows[Transaction Date],"&gt;="&amp;DATE(A32,1,1),tblCashFlows[Transaction Date],"&lt;"&amp;DATE(A32+1,1,1))</f>
        <v/>
      </c>
      <c r="E32" s="21">
        <f>D32-C32</f>
        <v/>
      </c>
      <c r="F32" s="21" t="n"/>
      <c r="G32" s="21" t="n"/>
      <c r="H32" s="22" t="n"/>
      <c r="I32" s="22" t="n"/>
      <c r="J32" s="22" t="n"/>
      <c r="K32" s="22" t="n"/>
      <c r="L32" s="22" t="n"/>
      <c r="M32" s="22" t="n"/>
      <c r="N32" s="7" t="n"/>
      <c r="O32" s="7" t="n"/>
    </row>
    <row r="33">
      <c r="A33" s="7" t="n">
        <v>2023</v>
      </c>
      <c r="B33" s="21" t="inlineStr">
        <is>
          <t>Lee Beaman</t>
        </is>
      </c>
      <c r="C33" s="21">
        <f>SUMIFS(tblCashFlows[Contribution Amount],tblCashFlows[Entity],B33,tblCashFlows[Transaction Date],"&gt;="&amp;DATE(A33,1,1),tblCashFlows[Transaction Date],"&lt;"&amp;DATE(A33+1,1,1))</f>
        <v/>
      </c>
      <c r="D33" s="21">
        <f>SUMIFS(tblCashFlows[Distribution Amount],tblCashFlows[Entity],B33,tblCashFlows[Transaction Date],"&gt;="&amp;DATE(A33,1,1),tblCashFlows[Transaction Date],"&lt;"&amp;DATE(A33+1,1,1))</f>
        <v/>
      </c>
      <c r="E33" s="21">
        <f>D33-C33</f>
        <v/>
      </c>
      <c r="F33" s="21" t="n"/>
      <c r="G33" s="21" t="n"/>
      <c r="H33" s="22" t="n"/>
      <c r="I33" s="22" t="n"/>
      <c r="J33" s="22" t="n"/>
      <c r="K33" s="22" t="n"/>
      <c r="L33" s="22" t="n"/>
      <c r="M33" s="22" t="n"/>
      <c r="N33" s="7" t="n"/>
      <c r="O33" s="7" t="n"/>
    </row>
    <row r="34">
      <c r="A34" s="7" t="n">
        <v>2023</v>
      </c>
      <c r="B34" s="21" t="inlineStr">
        <is>
          <t>Kat Trust</t>
        </is>
      </c>
      <c r="C34" s="21">
        <f>SUMIFS(tblCashFlows[Contribution Amount],tblCashFlows[Entity],B34,tblCashFlows[Transaction Date],"&gt;="&amp;DATE(A34,1,1),tblCashFlows[Transaction Date],"&lt;"&amp;DATE(A34+1,1,1))</f>
        <v/>
      </c>
      <c r="D34" s="21">
        <f>SUMIFS(tblCashFlows[Distribution Amount],tblCashFlows[Entity],B34,tblCashFlows[Transaction Date],"&gt;="&amp;DATE(A34,1,1),tblCashFlows[Transaction Date],"&lt;"&amp;DATE(A34+1,1,1))</f>
        <v/>
      </c>
      <c r="E34" s="21">
        <f>D34-C34</f>
        <v/>
      </c>
      <c r="F34" s="21" t="n"/>
      <c r="G34" s="21" t="n"/>
      <c r="H34" s="22" t="n"/>
      <c r="I34" s="22" t="n"/>
      <c r="J34" s="22" t="n"/>
      <c r="K34" s="22" t="n"/>
      <c r="L34" s="22" t="n"/>
      <c r="M34" s="22" t="n"/>
      <c r="N34" s="7" t="n"/>
      <c r="O34" s="7" t="n"/>
    </row>
    <row r="35">
      <c r="A35" s="7" t="n">
        <v>2023</v>
      </c>
      <c r="B35" s="21" t="inlineStr">
        <is>
          <t>Nat Trust</t>
        </is>
      </c>
      <c r="C35" s="21">
        <f>SUMIFS(tblCashFlows[Contribution Amount],tblCashFlows[Entity],B35,tblCashFlows[Transaction Date],"&gt;="&amp;DATE(A35,1,1),tblCashFlows[Transaction Date],"&lt;"&amp;DATE(A35+1,1,1))</f>
        <v/>
      </c>
      <c r="D35" s="21">
        <f>SUMIFS(tblCashFlows[Distribution Amount],tblCashFlows[Entity],B35,tblCashFlows[Transaction Date],"&gt;="&amp;DATE(A35,1,1),tblCashFlows[Transaction Date],"&lt;"&amp;DATE(A35+1,1,1))</f>
        <v/>
      </c>
      <c r="E35" s="21">
        <f>D35-C35</f>
        <v/>
      </c>
      <c r="F35" s="21" t="n"/>
      <c r="G35" s="21" t="n"/>
      <c r="H35" s="22" t="n"/>
      <c r="I35" s="22" t="n"/>
      <c r="J35" s="22" t="n"/>
      <c r="K35" s="22" t="n"/>
      <c r="L35" s="22" t="n"/>
      <c r="M35" s="22" t="n"/>
      <c r="N35" s="7" t="n"/>
      <c r="O35" s="7" t="n"/>
    </row>
    <row r="36">
      <c r="A36" s="7" t="n">
        <v>2024</v>
      </c>
      <c r="B36" s="21" t="inlineStr">
        <is>
          <t>Beaman Ventures</t>
        </is>
      </c>
      <c r="C36" s="21">
        <f>SUMIFS(tblCashFlows[Contribution Amount],tblCashFlows[Entity],B36,tblCashFlows[Transaction Date],"&gt;="&amp;DATE(A36,1,1),tblCashFlows[Transaction Date],"&lt;"&amp;DATE(A36+1,1,1))</f>
        <v/>
      </c>
      <c r="D36" s="21">
        <f>SUMIFS(tblCashFlows[Distribution Amount],tblCashFlows[Entity],B36,tblCashFlows[Transaction Date],"&gt;="&amp;DATE(A36,1,1),tblCashFlows[Transaction Date],"&lt;"&amp;DATE(A36+1,1,1))</f>
        <v/>
      </c>
      <c r="E36" s="21">
        <f>D36-C36</f>
        <v/>
      </c>
      <c r="F36" s="21" t="n"/>
      <c r="G36" s="21" t="n"/>
      <c r="H36" s="22" t="n"/>
      <c r="I36" s="22" t="n"/>
      <c r="J36" s="22" t="n"/>
      <c r="K36" s="22" t="n"/>
      <c r="L36" s="22" t="n"/>
      <c r="M36" s="22" t="n"/>
      <c r="N36" s="7" t="n"/>
      <c r="O36" s="7" t="n"/>
    </row>
    <row r="37">
      <c r="A37" s="7" t="n">
        <v>2024</v>
      </c>
      <c r="B37" s="21" t="inlineStr">
        <is>
          <t>Lee Beaman</t>
        </is>
      </c>
      <c r="C37" s="21">
        <f>SUMIFS(tblCashFlows[Contribution Amount],tblCashFlows[Entity],B37,tblCashFlows[Transaction Date],"&gt;="&amp;DATE(A37,1,1),tblCashFlows[Transaction Date],"&lt;"&amp;DATE(A37+1,1,1))</f>
        <v/>
      </c>
      <c r="D37" s="21">
        <f>SUMIFS(tblCashFlows[Distribution Amount],tblCashFlows[Entity],B37,tblCashFlows[Transaction Date],"&gt;="&amp;DATE(A37,1,1),tblCashFlows[Transaction Date],"&lt;"&amp;DATE(A37+1,1,1))</f>
        <v/>
      </c>
      <c r="E37" s="21">
        <f>D37-C37</f>
        <v/>
      </c>
      <c r="F37" s="21" t="n"/>
      <c r="G37" s="21" t="n"/>
      <c r="H37" s="22" t="n"/>
      <c r="I37" s="22" t="n"/>
      <c r="J37" s="22" t="n"/>
      <c r="K37" s="22" t="n"/>
      <c r="L37" s="22" t="n"/>
      <c r="M37" s="22" t="n"/>
      <c r="N37" s="7" t="n"/>
      <c r="O37" s="7" t="n"/>
    </row>
    <row r="38">
      <c r="A38" s="7" t="n">
        <v>2024</v>
      </c>
      <c r="B38" s="21" t="inlineStr">
        <is>
          <t>Kat Trust</t>
        </is>
      </c>
      <c r="C38" s="21">
        <f>SUMIFS(tblCashFlows[Contribution Amount],tblCashFlows[Entity],B38,tblCashFlows[Transaction Date],"&gt;="&amp;DATE(A38,1,1),tblCashFlows[Transaction Date],"&lt;"&amp;DATE(A38+1,1,1))</f>
        <v/>
      </c>
      <c r="D38" s="21">
        <f>SUMIFS(tblCashFlows[Distribution Amount],tblCashFlows[Entity],B38,tblCashFlows[Transaction Date],"&gt;="&amp;DATE(A38,1,1),tblCashFlows[Transaction Date],"&lt;"&amp;DATE(A38+1,1,1))</f>
        <v/>
      </c>
      <c r="E38" s="21">
        <f>D38-C38</f>
        <v/>
      </c>
      <c r="F38" s="21" t="n"/>
      <c r="G38" s="21" t="n"/>
      <c r="H38" s="22" t="n"/>
      <c r="I38" s="22" t="n"/>
      <c r="J38" s="22" t="n"/>
      <c r="K38" s="22" t="n"/>
      <c r="L38" s="22" t="n"/>
      <c r="M38" s="22" t="n"/>
      <c r="N38" s="7" t="n"/>
      <c r="O38" s="7" t="n"/>
    </row>
    <row r="39">
      <c r="A39" s="7" t="n">
        <v>2024</v>
      </c>
      <c r="B39" s="21" t="inlineStr">
        <is>
          <t>Nat Trust</t>
        </is>
      </c>
      <c r="C39" s="21">
        <f>SUMIFS(tblCashFlows[Contribution Amount],tblCashFlows[Entity],B39,tblCashFlows[Transaction Date],"&gt;="&amp;DATE(A39,1,1),tblCashFlows[Transaction Date],"&lt;"&amp;DATE(A39+1,1,1))</f>
        <v/>
      </c>
      <c r="D39" s="21">
        <f>SUMIFS(tblCashFlows[Distribution Amount],tblCashFlows[Entity],B39,tblCashFlows[Transaction Date],"&gt;="&amp;DATE(A39,1,1),tblCashFlows[Transaction Date],"&lt;"&amp;DATE(A39+1,1,1))</f>
        <v/>
      </c>
      <c r="E39" s="21">
        <f>D39-C39</f>
        <v/>
      </c>
      <c r="F39" s="21" t="n"/>
      <c r="G39" s="21" t="n"/>
      <c r="H39" s="22" t="n"/>
      <c r="I39" s="22" t="n"/>
      <c r="J39" s="22" t="n"/>
      <c r="K39" s="22" t="n"/>
      <c r="L39" s="22" t="n"/>
      <c r="M39" s="22" t="n"/>
      <c r="N39" s="7" t="n"/>
      <c r="O39" s="7" t="n"/>
    </row>
    <row r="40">
      <c r="A40" s="7" t="n">
        <v>2025</v>
      </c>
      <c r="B40" s="21" t="inlineStr">
        <is>
          <t>Beaman Ventures</t>
        </is>
      </c>
      <c r="C40" s="21">
        <f>SUMIFS(tblCashFlows[Contribution Amount],tblCashFlows[Entity],B40,tblCashFlows[Transaction Date],"&gt;="&amp;DATE(A40,1,1),tblCashFlows[Transaction Date],"&lt;"&amp;DATE(A40+1,1,1))</f>
        <v/>
      </c>
      <c r="D40" s="21">
        <f>SUMIFS(tblCashFlows[Distribution Amount],tblCashFlows[Entity],B40,tblCashFlows[Transaction Date],"&gt;="&amp;DATE(A40,1,1),tblCashFlows[Transaction Date],"&lt;"&amp;DATE(A40+1,1,1))</f>
        <v/>
      </c>
      <c r="E40" s="21">
        <f>D40-C40</f>
        <v/>
      </c>
      <c r="F40" s="21" t="n"/>
      <c r="G40" s="21" t="n"/>
      <c r="H40" s="22" t="n"/>
      <c r="I40" s="22" t="n"/>
      <c r="J40" s="22" t="n"/>
      <c r="K40" s="22" t="n"/>
      <c r="L40" s="22" t="n"/>
      <c r="M40" s="22" t="n"/>
      <c r="N40" s="7" t="n"/>
      <c r="O40" s="7" t="n"/>
    </row>
    <row r="41">
      <c r="A41" s="7" t="n">
        <v>2025</v>
      </c>
      <c r="B41" s="21" t="inlineStr">
        <is>
          <t>Lee Beaman</t>
        </is>
      </c>
      <c r="C41" s="21">
        <f>SUMIFS(tblCashFlows[Contribution Amount],tblCashFlows[Entity],B41,tblCashFlows[Transaction Date],"&gt;="&amp;DATE(A41,1,1),tblCashFlows[Transaction Date],"&lt;"&amp;DATE(A41+1,1,1))</f>
        <v/>
      </c>
      <c r="D41" s="21">
        <f>SUMIFS(tblCashFlows[Distribution Amount],tblCashFlows[Entity],B41,tblCashFlows[Transaction Date],"&gt;="&amp;DATE(A41,1,1),tblCashFlows[Transaction Date],"&lt;"&amp;DATE(A41+1,1,1))</f>
        <v/>
      </c>
      <c r="E41" s="21">
        <f>D41-C41</f>
        <v/>
      </c>
      <c r="F41" s="21" t="n"/>
      <c r="G41" s="21" t="n"/>
      <c r="H41" s="22" t="n"/>
      <c r="I41" s="22" t="n"/>
      <c r="J41" s="22" t="n"/>
      <c r="K41" s="22" t="n"/>
      <c r="L41" s="22" t="n"/>
      <c r="M41" s="22" t="n"/>
      <c r="N41" s="7" t="n"/>
      <c r="O41" s="7" t="n"/>
    </row>
    <row r="42">
      <c r="A42" s="7" t="n">
        <v>2025</v>
      </c>
      <c r="B42" s="21" t="inlineStr">
        <is>
          <t>Kat Trust</t>
        </is>
      </c>
      <c r="C42" s="21">
        <f>SUMIFS(tblCashFlows[Contribution Amount],tblCashFlows[Entity],B42,tblCashFlows[Transaction Date],"&gt;="&amp;DATE(A42,1,1),tblCashFlows[Transaction Date],"&lt;"&amp;DATE(A42+1,1,1))</f>
        <v/>
      </c>
      <c r="D42" s="21">
        <f>SUMIFS(tblCashFlows[Distribution Amount],tblCashFlows[Entity],B42,tblCashFlows[Transaction Date],"&gt;="&amp;DATE(A42,1,1),tblCashFlows[Transaction Date],"&lt;"&amp;DATE(A42+1,1,1))</f>
        <v/>
      </c>
      <c r="E42" s="21">
        <f>D42-C42</f>
        <v/>
      </c>
      <c r="F42" s="21" t="n"/>
      <c r="G42" s="21" t="n"/>
      <c r="H42" s="22" t="n"/>
      <c r="I42" s="22" t="n"/>
      <c r="J42" s="22" t="n"/>
      <c r="K42" s="22" t="n"/>
      <c r="L42" s="22" t="n"/>
      <c r="M42" s="22" t="n"/>
      <c r="N42" s="7" t="n"/>
      <c r="O42" s="7" t="n"/>
    </row>
    <row r="43">
      <c r="A43" s="7" t="n">
        <v>2025</v>
      </c>
      <c r="B43" s="21" t="inlineStr">
        <is>
          <t>Nat Trust</t>
        </is>
      </c>
      <c r="C43" s="21">
        <f>SUMIFS(tblCashFlows[Contribution Amount],tblCashFlows[Entity],B43,tblCashFlows[Transaction Date],"&gt;="&amp;DATE(A43,1,1),tblCashFlows[Transaction Date],"&lt;"&amp;DATE(A43+1,1,1))</f>
        <v/>
      </c>
      <c r="D43" s="21">
        <f>SUMIFS(tblCashFlows[Distribution Amount],tblCashFlows[Entity],B43,tblCashFlows[Transaction Date],"&gt;="&amp;DATE(A43,1,1),tblCashFlows[Transaction Date],"&lt;"&amp;DATE(A43+1,1,1))</f>
        <v/>
      </c>
      <c r="E43" s="21">
        <f>D43-C43</f>
        <v/>
      </c>
      <c r="F43" s="21" t="n"/>
      <c r="G43" s="21" t="n"/>
      <c r="H43" s="22" t="n"/>
      <c r="I43" s="22" t="n"/>
      <c r="J43" s="22" t="n"/>
      <c r="K43" s="22" t="n"/>
      <c r="L43" s="22" t="n"/>
      <c r="M43" s="22" t="n"/>
      <c r="N43" s="7" t="n"/>
      <c r="O43" s="7" t="n"/>
    </row>
    <row r="44">
      <c r="A44" s="7" t="n">
        <v>2026</v>
      </c>
      <c r="B44" s="21" t="inlineStr">
        <is>
          <t>Beaman Ventures</t>
        </is>
      </c>
      <c r="C44" s="21">
        <f>SUMIFS(tblCashFlows[Contribution Amount],tblCashFlows[Entity],B44,tblCashFlows[Transaction Date],"&gt;="&amp;DATE(A44,1,1),tblCashFlows[Transaction Date],"&lt;"&amp;DATE(A44+1,1,1))</f>
        <v/>
      </c>
      <c r="D44" s="21">
        <f>SUMIFS(tblCashFlows[Distribution Amount],tblCashFlows[Entity],B44,tblCashFlows[Transaction Date],"&gt;="&amp;DATE(A44,1,1),tblCashFlows[Transaction Date],"&lt;"&amp;DATE(A44+1,1,1))</f>
        <v/>
      </c>
      <c r="E44" s="21">
        <f>D44-C44</f>
        <v/>
      </c>
      <c r="F44" s="21" t="n"/>
      <c r="G44" s="21" t="n"/>
      <c r="H44" s="22" t="n"/>
      <c r="I44" s="22" t="n"/>
      <c r="J44" s="22" t="n"/>
      <c r="K44" s="22" t="n"/>
      <c r="L44" s="22" t="n"/>
      <c r="M44" s="22" t="n"/>
      <c r="N44" s="7" t="n"/>
      <c r="O44" s="7" t="n"/>
    </row>
    <row r="45">
      <c r="A45" s="7" t="n">
        <v>2026</v>
      </c>
      <c r="B45" s="21" t="inlineStr">
        <is>
          <t>Lee Beaman</t>
        </is>
      </c>
      <c r="C45" s="21">
        <f>SUMIFS(tblCashFlows[Contribution Amount],tblCashFlows[Entity],B45,tblCashFlows[Transaction Date],"&gt;="&amp;DATE(A45,1,1),tblCashFlows[Transaction Date],"&lt;"&amp;DATE(A45+1,1,1))</f>
        <v/>
      </c>
      <c r="D45" s="21">
        <f>SUMIFS(tblCashFlows[Distribution Amount],tblCashFlows[Entity],B45,tblCashFlows[Transaction Date],"&gt;="&amp;DATE(A45,1,1),tblCashFlows[Transaction Date],"&lt;"&amp;DATE(A45+1,1,1))</f>
        <v/>
      </c>
      <c r="E45" s="21">
        <f>D45-C45</f>
        <v/>
      </c>
      <c r="F45" s="21" t="n"/>
      <c r="G45" s="21" t="n"/>
      <c r="H45" s="22" t="n"/>
      <c r="I45" s="22" t="n"/>
      <c r="J45" s="22" t="n"/>
      <c r="K45" s="22" t="n"/>
      <c r="L45" s="22" t="n"/>
      <c r="M45" s="22" t="n"/>
      <c r="N45" s="7" t="n"/>
      <c r="O45" s="7" t="n"/>
    </row>
    <row r="46">
      <c r="A46" s="7" t="n">
        <v>2026</v>
      </c>
      <c r="B46" s="21" t="inlineStr">
        <is>
          <t>Kat Trust</t>
        </is>
      </c>
      <c r="C46" s="21">
        <f>SUMIFS(tblCashFlows[Contribution Amount],tblCashFlows[Entity],B46,tblCashFlows[Transaction Date],"&gt;="&amp;DATE(A46,1,1),tblCashFlows[Transaction Date],"&lt;"&amp;DATE(A46+1,1,1))</f>
        <v/>
      </c>
      <c r="D46" s="21">
        <f>SUMIFS(tblCashFlows[Distribution Amount],tblCashFlows[Entity],B46,tblCashFlows[Transaction Date],"&gt;="&amp;DATE(A46,1,1),tblCashFlows[Transaction Date],"&lt;"&amp;DATE(A46+1,1,1))</f>
        <v/>
      </c>
      <c r="E46" s="21">
        <f>D46-C46</f>
        <v/>
      </c>
      <c r="F46" s="21" t="n"/>
      <c r="G46" s="21" t="n"/>
      <c r="H46" s="22" t="n"/>
      <c r="I46" s="22" t="n"/>
      <c r="J46" s="22" t="n"/>
      <c r="K46" s="22" t="n"/>
      <c r="L46" s="22" t="n"/>
      <c r="M46" s="22" t="n"/>
      <c r="N46" s="7" t="n"/>
      <c r="O46" s="7" t="n"/>
    </row>
    <row r="47">
      <c r="A47" s="7" t="n">
        <v>2026</v>
      </c>
      <c r="B47" s="21" t="inlineStr">
        <is>
          <t>Nat Trust</t>
        </is>
      </c>
      <c r="C47" s="21">
        <f>SUMIFS(tblCashFlows[Contribution Amount],tblCashFlows[Entity],B47,tblCashFlows[Transaction Date],"&gt;="&amp;DATE(A47,1,1),tblCashFlows[Transaction Date],"&lt;"&amp;DATE(A47+1,1,1))</f>
        <v/>
      </c>
      <c r="D47" s="21">
        <f>SUMIFS(tblCashFlows[Distribution Amount],tblCashFlows[Entity],B47,tblCashFlows[Transaction Date],"&gt;="&amp;DATE(A47,1,1),tblCashFlows[Transaction Date],"&lt;"&amp;DATE(A47+1,1,1))</f>
        <v/>
      </c>
      <c r="E47" s="21">
        <f>D47-C47</f>
        <v/>
      </c>
      <c r="F47" s="21" t="n"/>
      <c r="G47" s="21" t="n"/>
      <c r="H47" s="22" t="n"/>
      <c r="I47" s="22" t="n"/>
      <c r="J47" s="22" t="n"/>
      <c r="K47" s="22" t="n"/>
      <c r="L47" s="22" t="n"/>
      <c r="M47" s="22" t="n"/>
      <c r="N47" s="7" t="n"/>
      <c r="O47" s="7" t="n"/>
    </row>
  </sheetData>
  <autoFilter ref="A11:E47"/>
  <mergeCells count="1">
    <mergeCell ref="A1:O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15" max="15"/>
    <col width="16" customWidth="1" min="16" max="16"/>
    <col width="16" customWidth="1" min="17" max="17"/>
    <col width="14" customWidth="1" min="18" max="18"/>
    <col width="28" customWidth="1" min="19" max="19"/>
    <col width="14" customWidth="1" min="20" max="20"/>
  </cols>
  <sheetData>
    <row r="1">
      <c r="A1" s="16" t="inlineStr">
        <is>
          <t>Investment-Level Performance | One row per investment</t>
        </is>
      </c>
    </row>
    <row r="3">
      <c r="A3" s="6" t="inlineStr">
        <is>
          <t>Investment ID</t>
        </is>
      </c>
      <c r="B3" s="6" t="inlineStr">
        <is>
          <t>Investment Name</t>
        </is>
      </c>
      <c r="C3" s="6" t="inlineStr">
        <is>
          <t>Status</t>
        </is>
      </c>
      <c r="D3" s="6" t="inlineStr">
        <is>
          <t>Total Invested Capital</t>
        </is>
      </c>
      <c r="E3" s="6" t="inlineStr">
        <is>
          <t>Total Distributions</t>
        </is>
      </c>
      <c r="F3" s="6" t="inlineStr">
        <is>
          <t>Official Value</t>
        </is>
      </c>
      <c r="G3" s="6" t="inlineStr">
        <is>
          <t>Internal Value</t>
        </is>
      </c>
      <c r="H3" s="6" t="inlineStr">
        <is>
          <t>Exit Value</t>
        </is>
      </c>
      <c r="I3" s="6" t="inlineStr">
        <is>
          <t>Official TVPI</t>
        </is>
      </c>
      <c r="J3" s="6" t="inlineStr">
        <is>
          <t>Internal TVPI</t>
        </is>
      </c>
      <c r="K3" s="6" t="inlineStr">
        <is>
          <t>Exit TVPI</t>
        </is>
      </c>
      <c r="L3" s="6" t="inlineStr">
        <is>
          <t>Official XIRR</t>
        </is>
      </c>
      <c r="M3" s="6" t="inlineStr">
        <is>
          <t>Internal XIRR</t>
        </is>
      </c>
      <c r="N3" s="6" t="inlineStr">
        <is>
          <t>Exit XIRR</t>
        </is>
      </c>
      <c r="O3" s="6" t="inlineStr">
        <is>
          <t>Unrealized Gain / Loss</t>
        </is>
      </c>
      <c r="P3" s="6" t="inlineStr">
        <is>
          <t>Realized Gain / Loss</t>
        </is>
      </c>
      <c r="Q3" s="6" t="inlineStr">
        <is>
          <t>Total Gain / Loss</t>
        </is>
      </c>
      <c r="R3" s="6" t="inlineStr">
        <is>
          <t>Holding Period</t>
        </is>
      </c>
      <c r="S3" s="6" t="inlineStr">
        <is>
          <t>Which entities own it</t>
        </is>
      </c>
      <c r="T3" s="6" t="inlineStr">
        <is>
          <t>Stale mark?</t>
        </is>
      </c>
    </row>
    <row r="4">
      <c r="A4" s="7" t="inlineStr">
        <is>
          <t>INV-001</t>
        </is>
      </c>
      <c r="B4" s="7">
        <f>XLOOKUP(A4,tblInvestments[Investment ID],tblInvestments[Investment Name],"")</f>
        <v/>
      </c>
      <c r="C4" s="7">
        <f>XLOOKUP(A4,tblInvestments[Investment ID],tblInvestments[Status],"")</f>
        <v/>
      </c>
      <c r="D4" s="21">
        <f>XLOOKUP(A4,tblInvestments[Investment ID],tblInvestments[Total invested capital],0)</f>
        <v/>
      </c>
      <c r="E4" s="21">
        <f>XLOOKUP(A4,tblInvestments[Investment ID],tblInvestments[Total distributions],0)</f>
        <v/>
      </c>
      <c r="F4" s="21">
        <f>XLOOKUP(A4,tblInvestments[Investment ID],tblInvestments[Official current value],0)</f>
        <v/>
      </c>
      <c r="G4" s="21">
        <f>XLOOKUP(A4,tblInvestments[Investment ID],tblInvestments[Internal current value],0)</f>
        <v/>
      </c>
      <c r="H4" s="21">
        <f>XLOOKUP(A4,tblInvestments[Investment ID],tblInvestments[Exit scenario value],0)</f>
        <v/>
      </c>
      <c r="I4" s="22">
        <f>IFERROR((E4+F4)/D4,"")</f>
        <v/>
      </c>
      <c r="J4" s="22">
        <f>IFERROR((E4+G4)/D4,"")</f>
        <v/>
      </c>
      <c r="K4" s="22">
        <f>IFERROR((E4+H4)/D4,"")</f>
        <v/>
      </c>
      <c r="L4" s="22">
        <f>XLOOKUP(A4,tblInvestments[Investment ID],tblInvestments[Official XIRR],"")</f>
        <v/>
      </c>
      <c r="M4" s="22">
        <f>XLOOKUP(A4,tblInvestments[Investment ID],tblInvestments[Internal XIRR],"")</f>
        <v/>
      </c>
      <c r="N4" s="22">
        <f>XLOOKUP(A4,tblInvestments[Investment ID],tblInvestments[Exit XIRR],"")</f>
        <v/>
      </c>
      <c r="O4" s="21">
        <f>F4-MAX(0,D4-E4)</f>
        <v/>
      </c>
      <c r="P4" s="21">
        <f>MAX(0,E4-D4)</f>
        <v/>
      </c>
      <c r="Q4" s="21">
        <f>E4+F4-D4</f>
        <v/>
      </c>
      <c r="R4" s="7">
        <f>YEARFRAC(XLOOKUP(A4,tblInvestments[Investment ID],tblInvestments[Initial Investment Date],TODAY()),TODAY())</f>
        <v/>
      </c>
      <c r="S4" s="7">
        <f>TEXTJOIN(", ",TRUE,IF(XLOOKUP(A4,tblInvestments[Investment ID],tblInvestments[Beaman Ventures %],0)&gt;0,"Beaman Ventures",""),IF(XLOOKUP(A4,tblInvestments[Investment ID],tblInvestments[Lee Beaman %],0)&gt;0,"Lee Beaman",""),IF(XLOOKUP(A4,tblInvestments[Investment ID],tblInvestments[Kat Trust %],0)&gt;0,"Kat Trust",""),IF(XLOOKUP(A4,tblInvestments[Investment ID],tblInvestments[Nat Trust %],0)&gt;0,"Nat Trust",""))</f>
        <v/>
      </c>
      <c r="T4" s="7">
        <f>IF(TODAY()-XLOOKUP(A4,tblOfficialMarks[Investment ID],tblOfficialMarks[Valuation Date],TODAY(),0,-1)&gt;120,"Update mark","Current")</f>
        <v/>
      </c>
    </row>
    <row r="5">
      <c r="A5" s="7" t="inlineStr">
        <is>
          <t>INV-002</t>
        </is>
      </c>
      <c r="B5" s="7">
        <f>XLOOKUP(A5,tblInvestments[Investment ID],tblInvestments[Investment Name],"")</f>
        <v/>
      </c>
      <c r="C5" s="7">
        <f>XLOOKUP(A5,tblInvestments[Investment ID],tblInvestments[Status],"")</f>
        <v/>
      </c>
      <c r="D5" s="21">
        <f>XLOOKUP(A5,tblInvestments[Investment ID],tblInvestments[Total invested capital],0)</f>
        <v/>
      </c>
      <c r="E5" s="21">
        <f>XLOOKUP(A5,tblInvestments[Investment ID],tblInvestments[Total distributions],0)</f>
        <v/>
      </c>
      <c r="F5" s="21">
        <f>XLOOKUP(A5,tblInvestments[Investment ID],tblInvestments[Official current value],0)</f>
        <v/>
      </c>
      <c r="G5" s="21">
        <f>XLOOKUP(A5,tblInvestments[Investment ID],tblInvestments[Internal current value],0)</f>
        <v/>
      </c>
      <c r="H5" s="21">
        <f>XLOOKUP(A5,tblInvestments[Investment ID],tblInvestments[Exit scenario value],0)</f>
        <v/>
      </c>
      <c r="I5" s="22">
        <f>IFERROR((E5+F5)/D5,"")</f>
        <v/>
      </c>
      <c r="J5" s="22">
        <f>IFERROR((E5+G5)/D5,"")</f>
        <v/>
      </c>
      <c r="K5" s="22">
        <f>IFERROR((E5+H5)/D5,"")</f>
        <v/>
      </c>
      <c r="L5" s="22">
        <f>XLOOKUP(A5,tblInvestments[Investment ID],tblInvestments[Official XIRR],"")</f>
        <v/>
      </c>
      <c r="M5" s="22">
        <f>XLOOKUP(A5,tblInvestments[Investment ID],tblInvestments[Internal XIRR],"")</f>
        <v/>
      </c>
      <c r="N5" s="22">
        <f>XLOOKUP(A5,tblInvestments[Investment ID],tblInvestments[Exit XIRR],"")</f>
        <v/>
      </c>
      <c r="O5" s="21">
        <f>F5-MAX(0,D5-E5)</f>
        <v/>
      </c>
      <c r="P5" s="21">
        <f>MAX(0,E5-D5)</f>
        <v/>
      </c>
      <c r="Q5" s="21">
        <f>E5+F5-D5</f>
        <v/>
      </c>
      <c r="R5" s="7">
        <f>YEARFRAC(XLOOKUP(A5,tblInvestments[Investment ID],tblInvestments[Initial Investment Date],TODAY()),TODAY())</f>
        <v/>
      </c>
      <c r="S5" s="7">
        <f>TEXTJOIN(", ",TRUE,IF(XLOOKUP(A5,tblInvestments[Investment ID],tblInvestments[Beaman Ventures %],0)&gt;0,"Beaman Ventures",""),IF(XLOOKUP(A5,tblInvestments[Investment ID],tblInvestments[Lee Beaman %],0)&gt;0,"Lee Beaman",""),IF(XLOOKUP(A5,tblInvestments[Investment ID],tblInvestments[Kat Trust %],0)&gt;0,"Kat Trust",""),IF(XLOOKUP(A5,tblInvestments[Investment ID],tblInvestments[Nat Trust %],0)&gt;0,"Nat Trust",""))</f>
        <v/>
      </c>
      <c r="T5" s="7">
        <f>IF(TODAY()-XLOOKUP(A5,tblOfficialMarks[Investment ID],tblOfficialMarks[Valuation Date],TODAY(),0,-1)&gt;120,"Update mark","Current")</f>
        <v/>
      </c>
    </row>
    <row r="6">
      <c r="A6" s="7" t="inlineStr">
        <is>
          <t>INV-003</t>
        </is>
      </c>
      <c r="B6" s="7">
        <f>XLOOKUP(A6,tblInvestments[Investment ID],tblInvestments[Investment Name],"")</f>
        <v/>
      </c>
      <c r="C6" s="7">
        <f>XLOOKUP(A6,tblInvestments[Investment ID],tblInvestments[Status],"")</f>
        <v/>
      </c>
      <c r="D6" s="21">
        <f>XLOOKUP(A6,tblInvestments[Investment ID],tblInvestments[Total invested capital],0)</f>
        <v/>
      </c>
      <c r="E6" s="21">
        <f>XLOOKUP(A6,tblInvestments[Investment ID],tblInvestments[Total distributions],0)</f>
        <v/>
      </c>
      <c r="F6" s="21">
        <f>XLOOKUP(A6,tblInvestments[Investment ID],tblInvestments[Official current value],0)</f>
        <v/>
      </c>
      <c r="G6" s="21">
        <f>XLOOKUP(A6,tblInvestments[Investment ID],tblInvestments[Internal current value],0)</f>
        <v/>
      </c>
      <c r="H6" s="21">
        <f>XLOOKUP(A6,tblInvestments[Investment ID],tblInvestments[Exit scenario value],0)</f>
        <v/>
      </c>
      <c r="I6" s="22">
        <f>IFERROR((E6+F6)/D6,"")</f>
        <v/>
      </c>
      <c r="J6" s="22">
        <f>IFERROR((E6+G6)/D6,"")</f>
        <v/>
      </c>
      <c r="K6" s="22">
        <f>IFERROR((E6+H6)/D6,"")</f>
        <v/>
      </c>
      <c r="L6" s="22">
        <f>XLOOKUP(A6,tblInvestments[Investment ID],tblInvestments[Official XIRR],"")</f>
        <v/>
      </c>
      <c r="M6" s="22">
        <f>XLOOKUP(A6,tblInvestments[Investment ID],tblInvestments[Internal XIRR],"")</f>
        <v/>
      </c>
      <c r="N6" s="22">
        <f>XLOOKUP(A6,tblInvestments[Investment ID],tblInvestments[Exit XIRR],"")</f>
        <v/>
      </c>
      <c r="O6" s="21">
        <f>F6-MAX(0,D6-E6)</f>
        <v/>
      </c>
      <c r="P6" s="21">
        <f>MAX(0,E6-D6)</f>
        <v/>
      </c>
      <c r="Q6" s="21">
        <f>E6+F6-D6</f>
        <v/>
      </c>
      <c r="R6" s="7">
        <f>YEARFRAC(XLOOKUP(A6,tblInvestments[Investment ID],tblInvestments[Initial Investment Date],TODAY()),TODAY())</f>
        <v/>
      </c>
      <c r="S6" s="7">
        <f>TEXTJOIN(", ",TRUE,IF(XLOOKUP(A6,tblInvestments[Investment ID],tblInvestments[Beaman Ventures %],0)&gt;0,"Beaman Ventures",""),IF(XLOOKUP(A6,tblInvestments[Investment ID],tblInvestments[Lee Beaman %],0)&gt;0,"Lee Beaman",""),IF(XLOOKUP(A6,tblInvestments[Investment ID],tblInvestments[Kat Trust %],0)&gt;0,"Kat Trust",""),IF(XLOOKUP(A6,tblInvestments[Investment ID],tblInvestments[Nat Trust %],0)&gt;0,"Nat Trust",""))</f>
        <v/>
      </c>
      <c r="T6" s="7">
        <f>IF(TODAY()-XLOOKUP(A6,tblOfficialMarks[Investment ID],tblOfficialMarks[Valuation Date],TODAY(),0,-1)&gt;120,"Update mark","Current")</f>
        <v/>
      </c>
    </row>
    <row r="7">
      <c r="A7" s="7" t="inlineStr">
        <is>
          <t>INV-004</t>
        </is>
      </c>
      <c r="B7" s="7">
        <f>XLOOKUP(A7,tblInvestments[Investment ID],tblInvestments[Investment Name],"")</f>
        <v/>
      </c>
      <c r="C7" s="7">
        <f>XLOOKUP(A7,tblInvestments[Investment ID],tblInvestments[Status],"")</f>
        <v/>
      </c>
      <c r="D7" s="21">
        <f>XLOOKUP(A7,tblInvestments[Investment ID],tblInvestments[Total invested capital],0)</f>
        <v/>
      </c>
      <c r="E7" s="21">
        <f>XLOOKUP(A7,tblInvestments[Investment ID],tblInvestments[Total distributions],0)</f>
        <v/>
      </c>
      <c r="F7" s="21">
        <f>XLOOKUP(A7,tblInvestments[Investment ID],tblInvestments[Official current value],0)</f>
        <v/>
      </c>
      <c r="G7" s="21">
        <f>XLOOKUP(A7,tblInvestments[Investment ID],tblInvestments[Internal current value],0)</f>
        <v/>
      </c>
      <c r="H7" s="21">
        <f>XLOOKUP(A7,tblInvestments[Investment ID],tblInvestments[Exit scenario value],0)</f>
        <v/>
      </c>
      <c r="I7" s="22">
        <f>IFERROR((E7+F7)/D7,"")</f>
        <v/>
      </c>
      <c r="J7" s="22">
        <f>IFERROR((E7+G7)/D7,"")</f>
        <v/>
      </c>
      <c r="K7" s="22">
        <f>IFERROR((E7+H7)/D7,"")</f>
        <v/>
      </c>
      <c r="L7" s="22">
        <f>XLOOKUP(A7,tblInvestments[Investment ID],tblInvestments[Official XIRR],"")</f>
        <v/>
      </c>
      <c r="M7" s="22">
        <f>XLOOKUP(A7,tblInvestments[Investment ID],tblInvestments[Internal XIRR],"")</f>
        <v/>
      </c>
      <c r="N7" s="22">
        <f>XLOOKUP(A7,tblInvestments[Investment ID],tblInvestments[Exit XIRR],"")</f>
        <v/>
      </c>
      <c r="O7" s="21">
        <f>F7-MAX(0,D7-E7)</f>
        <v/>
      </c>
      <c r="P7" s="21">
        <f>MAX(0,E7-D7)</f>
        <v/>
      </c>
      <c r="Q7" s="21">
        <f>E7+F7-D7</f>
        <v/>
      </c>
      <c r="R7" s="7">
        <f>YEARFRAC(XLOOKUP(A7,tblInvestments[Investment ID],tblInvestments[Initial Investment Date],TODAY()),TODAY())</f>
        <v/>
      </c>
      <c r="S7" s="7">
        <f>TEXTJOIN(", ",TRUE,IF(XLOOKUP(A7,tblInvestments[Investment ID],tblInvestments[Beaman Ventures %],0)&gt;0,"Beaman Ventures",""),IF(XLOOKUP(A7,tblInvestments[Investment ID],tblInvestments[Lee Beaman %],0)&gt;0,"Lee Beaman",""),IF(XLOOKUP(A7,tblInvestments[Investment ID],tblInvestments[Kat Trust %],0)&gt;0,"Kat Trust",""),IF(XLOOKUP(A7,tblInvestments[Investment ID],tblInvestments[Nat Trust %],0)&gt;0,"Nat Trust",""))</f>
        <v/>
      </c>
      <c r="T7" s="7">
        <f>IF(TODAY()-XLOOKUP(A7,tblOfficialMarks[Investment ID],tblOfficialMarks[Valuation Date],TODAY(),0,-1)&gt;120,"Update mark","Current")</f>
        <v/>
      </c>
    </row>
    <row r="8">
      <c r="A8" s="7" t="inlineStr">
        <is>
          <t>INV-005</t>
        </is>
      </c>
      <c r="B8" s="7">
        <f>XLOOKUP(A8,tblInvestments[Investment ID],tblInvestments[Investment Name],"")</f>
        <v/>
      </c>
      <c r="C8" s="7">
        <f>XLOOKUP(A8,tblInvestments[Investment ID],tblInvestments[Status],"")</f>
        <v/>
      </c>
      <c r="D8" s="21">
        <f>XLOOKUP(A8,tblInvestments[Investment ID],tblInvestments[Total invested capital],0)</f>
        <v/>
      </c>
      <c r="E8" s="21">
        <f>XLOOKUP(A8,tblInvestments[Investment ID],tblInvestments[Total distributions],0)</f>
        <v/>
      </c>
      <c r="F8" s="21">
        <f>XLOOKUP(A8,tblInvestments[Investment ID],tblInvestments[Official current value],0)</f>
        <v/>
      </c>
      <c r="G8" s="21">
        <f>XLOOKUP(A8,tblInvestments[Investment ID],tblInvestments[Internal current value],0)</f>
        <v/>
      </c>
      <c r="H8" s="21">
        <f>XLOOKUP(A8,tblInvestments[Investment ID],tblInvestments[Exit scenario value],0)</f>
        <v/>
      </c>
      <c r="I8" s="22">
        <f>IFERROR((E8+F8)/D8,"")</f>
        <v/>
      </c>
      <c r="J8" s="22">
        <f>IFERROR((E8+G8)/D8,"")</f>
        <v/>
      </c>
      <c r="K8" s="22">
        <f>IFERROR((E8+H8)/D8,"")</f>
        <v/>
      </c>
      <c r="L8" s="22">
        <f>XLOOKUP(A8,tblInvestments[Investment ID],tblInvestments[Official XIRR],"")</f>
        <v/>
      </c>
      <c r="M8" s="22">
        <f>XLOOKUP(A8,tblInvestments[Investment ID],tblInvestments[Internal XIRR],"")</f>
        <v/>
      </c>
      <c r="N8" s="22">
        <f>XLOOKUP(A8,tblInvestments[Investment ID],tblInvestments[Exit XIRR],"")</f>
        <v/>
      </c>
      <c r="O8" s="21">
        <f>F8-MAX(0,D8-E8)</f>
        <v/>
      </c>
      <c r="P8" s="21">
        <f>MAX(0,E8-D8)</f>
        <v/>
      </c>
      <c r="Q8" s="21">
        <f>E8+F8-D8</f>
        <v/>
      </c>
      <c r="R8" s="7">
        <f>YEARFRAC(XLOOKUP(A8,tblInvestments[Investment ID],tblInvestments[Initial Investment Date],TODAY()),TODAY())</f>
        <v/>
      </c>
      <c r="S8" s="7">
        <f>TEXTJOIN(", ",TRUE,IF(XLOOKUP(A8,tblInvestments[Investment ID],tblInvestments[Beaman Ventures %],0)&gt;0,"Beaman Ventures",""),IF(XLOOKUP(A8,tblInvestments[Investment ID],tblInvestments[Lee Beaman %],0)&gt;0,"Lee Beaman",""),IF(XLOOKUP(A8,tblInvestments[Investment ID],tblInvestments[Kat Trust %],0)&gt;0,"Kat Trust",""),IF(XLOOKUP(A8,tblInvestments[Investment ID],tblInvestments[Nat Trust %],0)&gt;0,"Nat Trust",""))</f>
        <v/>
      </c>
      <c r="T8" s="7">
        <f>IF(TODAY()-XLOOKUP(A8,tblOfficialMarks[Investment ID],tblOfficialMarks[Valuation Date],TODAY(),0,-1)&gt;120,"Update mark","Current")</f>
        <v/>
      </c>
    </row>
    <row r="9">
      <c r="A9" s="7" t="inlineStr">
        <is>
          <t>INV-006</t>
        </is>
      </c>
      <c r="B9" s="7">
        <f>XLOOKUP(A9,tblInvestments[Investment ID],tblInvestments[Investment Name],"")</f>
        <v/>
      </c>
      <c r="C9" s="7">
        <f>XLOOKUP(A9,tblInvestments[Investment ID],tblInvestments[Status],"")</f>
        <v/>
      </c>
      <c r="D9" s="21">
        <f>XLOOKUP(A9,tblInvestments[Investment ID],tblInvestments[Total invested capital],0)</f>
        <v/>
      </c>
      <c r="E9" s="21">
        <f>XLOOKUP(A9,tblInvestments[Investment ID],tblInvestments[Total distributions],0)</f>
        <v/>
      </c>
      <c r="F9" s="21">
        <f>XLOOKUP(A9,tblInvestments[Investment ID],tblInvestments[Official current value],0)</f>
        <v/>
      </c>
      <c r="G9" s="21">
        <f>XLOOKUP(A9,tblInvestments[Investment ID],tblInvestments[Internal current value],0)</f>
        <v/>
      </c>
      <c r="H9" s="21">
        <f>XLOOKUP(A9,tblInvestments[Investment ID],tblInvestments[Exit scenario value],0)</f>
        <v/>
      </c>
      <c r="I9" s="22">
        <f>IFERROR((E9+F9)/D9,"")</f>
        <v/>
      </c>
      <c r="J9" s="22">
        <f>IFERROR((E9+G9)/D9,"")</f>
        <v/>
      </c>
      <c r="K9" s="22">
        <f>IFERROR((E9+H9)/D9,"")</f>
        <v/>
      </c>
      <c r="L9" s="22">
        <f>XLOOKUP(A9,tblInvestments[Investment ID],tblInvestments[Official XIRR],"")</f>
        <v/>
      </c>
      <c r="M9" s="22">
        <f>XLOOKUP(A9,tblInvestments[Investment ID],tblInvestments[Internal XIRR],"")</f>
        <v/>
      </c>
      <c r="N9" s="22">
        <f>XLOOKUP(A9,tblInvestments[Investment ID],tblInvestments[Exit XIRR],"")</f>
        <v/>
      </c>
      <c r="O9" s="21">
        <f>F9-MAX(0,D9-E9)</f>
        <v/>
      </c>
      <c r="P9" s="21">
        <f>MAX(0,E9-D9)</f>
        <v/>
      </c>
      <c r="Q9" s="21">
        <f>E9+F9-D9</f>
        <v/>
      </c>
      <c r="R9" s="7">
        <f>YEARFRAC(XLOOKUP(A9,tblInvestments[Investment ID],tblInvestments[Initial Investment Date],TODAY()),TODAY())</f>
        <v/>
      </c>
      <c r="S9" s="7">
        <f>TEXTJOIN(", ",TRUE,IF(XLOOKUP(A9,tblInvestments[Investment ID],tblInvestments[Beaman Ventures %],0)&gt;0,"Beaman Ventures",""),IF(XLOOKUP(A9,tblInvestments[Investment ID],tblInvestments[Lee Beaman %],0)&gt;0,"Lee Beaman",""),IF(XLOOKUP(A9,tblInvestments[Investment ID],tblInvestments[Kat Trust %],0)&gt;0,"Kat Trust",""),IF(XLOOKUP(A9,tblInvestments[Investment ID],tblInvestments[Nat Trust %],0)&gt;0,"Nat Trust",""))</f>
        <v/>
      </c>
      <c r="T9" s="7">
        <f>IF(TODAY()-XLOOKUP(A9,tblOfficialMarks[Investment ID],tblOfficialMarks[Valuation Date],TODAY(),0,-1)&gt;120,"Update mark","Current")</f>
        <v/>
      </c>
    </row>
    <row r="10">
      <c r="A10" s="7" t="inlineStr">
        <is>
          <t>INV-007</t>
        </is>
      </c>
      <c r="B10" s="7">
        <f>XLOOKUP(A10,tblInvestments[Investment ID],tblInvestments[Investment Name],"")</f>
        <v/>
      </c>
      <c r="C10" s="7">
        <f>XLOOKUP(A10,tblInvestments[Investment ID],tblInvestments[Status],"")</f>
        <v/>
      </c>
      <c r="D10" s="21">
        <f>XLOOKUP(A10,tblInvestments[Investment ID],tblInvestments[Total invested capital],0)</f>
        <v/>
      </c>
      <c r="E10" s="21">
        <f>XLOOKUP(A10,tblInvestments[Investment ID],tblInvestments[Total distributions],0)</f>
        <v/>
      </c>
      <c r="F10" s="21">
        <f>XLOOKUP(A10,tblInvestments[Investment ID],tblInvestments[Official current value],0)</f>
        <v/>
      </c>
      <c r="G10" s="21">
        <f>XLOOKUP(A10,tblInvestments[Investment ID],tblInvestments[Internal current value],0)</f>
        <v/>
      </c>
      <c r="H10" s="21">
        <f>XLOOKUP(A10,tblInvestments[Investment ID],tblInvestments[Exit scenario value],0)</f>
        <v/>
      </c>
      <c r="I10" s="22">
        <f>IFERROR((E10+F10)/D10,"")</f>
        <v/>
      </c>
      <c r="J10" s="22">
        <f>IFERROR((E10+G10)/D10,"")</f>
        <v/>
      </c>
      <c r="K10" s="22">
        <f>IFERROR((E10+H10)/D10,"")</f>
        <v/>
      </c>
      <c r="L10" s="22">
        <f>XLOOKUP(A10,tblInvestments[Investment ID],tblInvestments[Official XIRR],"")</f>
        <v/>
      </c>
      <c r="M10" s="22">
        <f>XLOOKUP(A10,tblInvestments[Investment ID],tblInvestments[Internal XIRR],"")</f>
        <v/>
      </c>
      <c r="N10" s="22">
        <f>XLOOKUP(A10,tblInvestments[Investment ID],tblInvestments[Exit XIRR],"")</f>
        <v/>
      </c>
      <c r="O10" s="21">
        <f>F10-MAX(0,D10-E10)</f>
        <v/>
      </c>
      <c r="P10" s="21">
        <f>MAX(0,E10-D10)</f>
        <v/>
      </c>
      <c r="Q10" s="21">
        <f>E10+F10-D10</f>
        <v/>
      </c>
      <c r="R10" s="7">
        <f>YEARFRAC(XLOOKUP(A10,tblInvestments[Investment ID],tblInvestments[Initial Investment Date],TODAY()),TODAY())</f>
        <v/>
      </c>
      <c r="S10" s="7">
        <f>TEXTJOIN(", ",TRUE,IF(XLOOKUP(A10,tblInvestments[Investment ID],tblInvestments[Beaman Ventures %],0)&gt;0,"Beaman Ventures",""),IF(XLOOKUP(A10,tblInvestments[Investment ID],tblInvestments[Lee Beaman %],0)&gt;0,"Lee Beaman",""),IF(XLOOKUP(A10,tblInvestments[Investment ID],tblInvestments[Kat Trust %],0)&gt;0,"Kat Trust",""),IF(XLOOKUP(A10,tblInvestments[Investment ID],tblInvestments[Nat Trust %],0)&gt;0,"Nat Trust",""))</f>
        <v/>
      </c>
      <c r="T10" s="7">
        <f>IF(TODAY()-XLOOKUP(A10,tblOfficialMarks[Investment ID],tblOfficialMarks[Valuation Date],TODAY(),0,-1)&gt;120,"Update mark","Current")</f>
        <v/>
      </c>
    </row>
    <row r="11">
      <c r="A11" s="7" t="inlineStr">
        <is>
          <t>INV-008</t>
        </is>
      </c>
      <c r="B11" s="7">
        <f>XLOOKUP(A11,tblInvestments[Investment ID],tblInvestments[Investment Name],"")</f>
        <v/>
      </c>
      <c r="C11" s="7">
        <f>XLOOKUP(A11,tblInvestments[Investment ID],tblInvestments[Status],"")</f>
        <v/>
      </c>
      <c r="D11" s="21">
        <f>XLOOKUP(A11,tblInvestments[Investment ID],tblInvestments[Total invested capital],0)</f>
        <v/>
      </c>
      <c r="E11" s="21">
        <f>XLOOKUP(A11,tblInvestments[Investment ID],tblInvestments[Total distributions],0)</f>
        <v/>
      </c>
      <c r="F11" s="21">
        <f>XLOOKUP(A11,tblInvestments[Investment ID],tblInvestments[Official current value],0)</f>
        <v/>
      </c>
      <c r="G11" s="21">
        <f>XLOOKUP(A11,tblInvestments[Investment ID],tblInvestments[Internal current value],0)</f>
        <v/>
      </c>
      <c r="H11" s="21">
        <f>XLOOKUP(A11,tblInvestments[Investment ID],tblInvestments[Exit scenario value],0)</f>
        <v/>
      </c>
      <c r="I11" s="22">
        <f>IFERROR((E11+F11)/D11,"")</f>
        <v/>
      </c>
      <c r="J11" s="22">
        <f>IFERROR((E11+G11)/D11,"")</f>
        <v/>
      </c>
      <c r="K11" s="22">
        <f>IFERROR((E11+H11)/D11,"")</f>
        <v/>
      </c>
      <c r="L11" s="22">
        <f>XLOOKUP(A11,tblInvestments[Investment ID],tblInvestments[Official XIRR],"")</f>
        <v/>
      </c>
      <c r="M11" s="22">
        <f>XLOOKUP(A11,tblInvestments[Investment ID],tblInvestments[Internal XIRR],"")</f>
        <v/>
      </c>
      <c r="N11" s="22">
        <f>XLOOKUP(A11,tblInvestments[Investment ID],tblInvestments[Exit XIRR],"")</f>
        <v/>
      </c>
      <c r="O11" s="21">
        <f>F11-MAX(0,D11-E11)</f>
        <v/>
      </c>
      <c r="P11" s="21">
        <f>MAX(0,E11-D11)</f>
        <v/>
      </c>
      <c r="Q11" s="21">
        <f>E11+F11-D11</f>
        <v/>
      </c>
      <c r="R11" s="7">
        <f>YEARFRAC(XLOOKUP(A11,tblInvestments[Investment ID],tblInvestments[Initial Investment Date],TODAY()),TODAY())</f>
        <v/>
      </c>
      <c r="S11" s="7">
        <f>TEXTJOIN(", ",TRUE,IF(XLOOKUP(A11,tblInvestments[Investment ID],tblInvestments[Beaman Ventures %],0)&gt;0,"Beaman Ventures",""),IF(XLOOKUP(A11,tblInvestments[Investment ID],tblInvestments[Lee Beaman %],0)&gt;0,"Lee Beaman",""),IF(XLOOKUP(A11,tblInvestments[Investment ID],tblInvestments[Kat Trust %],0)&gt;0,"Kat Trust",""),IF(XLOOKUP(A11,tblInvestments[Investment ID],tblInvestments[Nat Trust %],0)&gt;0,"Nat Trust",""))</f>
        <v/>
      </c>
      <c r="T11" s="7">
        <f>IF(TODAY()-XLOOKUP(A11,tblOfficialMarks[Investment ID],tblOfficialMarks[Valuation Date],TODAY(),0,-1)&gt;120,"Update mark","Current")</f>
        <v/>
      </c>
    </row>
  </sheetData>
  <autoFilter ref="A3:T11"/>
  <mergeCells count="1">
    <mergeCell ref="A1:T1"/>
  </mergeCells>
  <conditionalFormatting sqref="I4:I11">
    <cfRule type="cellIs" priority="1" operator="greaterThan" dxfId="0">
      <formula>2</formula>
    </cfRule>
  </conditionalFormatting>
  <conditionalFormatting sqref="F4:F11">
    <cfRule type="expression" priority="2" dxfId="1">
      <formula>F4&lt;D4-E4</formula>
    </cfRule>
  </conditionalFormatting>
  <conditionalFormatting sqref="C4:C11">
    <cfRule type="expression" priority="3" dxfId="2">
      <formula>$C4="Realized"</formula>
    </cfRule>
  </conditionalFormatting>
  <conditionalFormatting sqref="T4:T11">
    <cfRule type="expression" priority="4" dxfId="3">
      <formula>$T4="Update mark"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8" customWidth="1" min="5" max="5"/>
    <col width="18" customWidth="1" min="6" max="6"/>
    <col width="14" customWidth="1" min="7" max="7"/>
    <col width="18" customWidth="1" min="8" max="8"/>
    <col width="18" customWidth="1" min="9" max="9"/>
    <col width="14" customWidth="1" min="10" max="10"/>
    <col width="18" customWidth="1" min="11" max="11"/>
    <col width="18" customWidth="1" min="12" max="12"/>
    <col width="14" customWidth="1" min="13" max="13"/>
    <col width="18" customWidth="1" min="14" max="14"/>
    <col width="18" customWidth="1" min="15" max="15"/>
    <col width="14" customWidth="1" min="16" max="16"/>
  </cols>
  <sheetData>
    <row r="1">
      <c r="A1" s="16" t="inlineStr">
        <is>
          <t>Cash Flow Timeline | Monthly liquidity view</t>
        </is>
      </c>
    </row>
    <row r="3">
      <c r="A3" s="6" t="inlineStr">
        <is>
          <t>Month</t>
        </is>
      </c>
      <c r="B3" s="6" t="inlineStr">
        <is>
          <t>Beaman Ventures Contributions</t>
        </is>
      </c>
      <c r="C3" s="6" t="inlineStr">
        <is>
          <t>Beaman Ventures Distributions</t>
        </is>
      </c>
      <c r="D3" s="6" t="inlineStr">
        <is>
          <t>Beaman Ventures Net</t>
        </is>
      </c>
      <c r="E3" s="6" t="inlineStr">
        <is>
          <t>Lee Beaman Contributions</t>
        </is>
      </c>
      <c r="F3" s="6" t="inlineStr">
        <is>
          <t>Lee Beaman Distributions</t>
        </is>
      </c>
      <c r="G3" s="6" t="inlineStr">
        <is>
          <t>Lee Beaman Net</t>
        </is>
      </c>
      <c r="H3" s="6" t="inlineStr">
        <is>
          <t>Kat Trust Contributions</t>
        </is>
      </c>
      <c r="I3" s="6" t="inlineStr">
        <is>
          <t>Kat Trust Distributions</t>
        </is>
      </c>
      <c r="J3" s="6" t="inlineStr">
        <is>
          <t>Kat Trust Net</t>
        </is>
      </c>
      <c r="K3" s="6" t="inlineStr">
        <is>
          <t>Nat Trust Contributions</t>
        </is>
      </c>
      <c r="L3" s="6" t="inlineStr">
        <is>
          <t>Nat Trust Distributions</t>
        </is>
      </c>
      <c r="M3" s="6" t="inlineStr">
        <is>
          <t>Nat Trust Net</t>
        </is>
      </c>
      <c r="N3" s="6" t="inlineStr">
        <is>
          <t>Total Contributions</t>
        </is>
      </c>
      <c r="O3" s="6" t="inlineStr">
        <is>
          <t>Total Distributions</t>
        </is>
      </c>
      <c r="P3" s="6" t="inlineStr">
        <is>
          <t>Total Net</t>
        </is>
      </c>
    </row>
    <row r="4">
      <c r="A4" s="26" t="n">
        <v>43191</v>
      </c>
      <c r="B4" s="21">
        <f>SUMIFS(tblCashFlows[Contribution Amount],tblCashFlows[Entity],"Beaman Ventures",tblCashFlows[Transaction Date],"&gt;="&amp;A4,tblCashFlows[Transaction Date],"&lt;"&amp;EDATE(A4,1))</f>
        <v/>
      </c>
      <c r="C4" s="21">
        <f>SUMIFS(tblCashFlows[Distribution Amount],tblCashFlows[Entity],"Beaman Ventures",tblCashFlows[Transaction Date],"&gt;="&amp;A4,tblCashFlows[Transaction Date],"&lt;"&amp;EDATE(A4,1))</f>
        <v/>
      </c>
      <c r="D4" s="21">
        <f>C4-B4</f>
        <v/>
      </c>
      <c r="E4" s="21">
        <f>SUMIFS(tblCashFlows[Contribution Amount],tblCashFlows[Entity],"Lee Beaman",tblCashFlows[Transaction Date],"&gt;="&amp;A4,tblCashFlows[Transaction Date],"&lt;"&amp;EDATE(A4,1))</f>
        <v/>
      </c>
      <c r="F4" s="21">
        <f>SUMIFS(tblCashFlows[Distribution Amount],tblCashFlows[Entity],"Lee Beaman",tblCashFlows[Transaction Date],"&gt;="&amp;A4,tblCashFlows[Transaction Date],"&lt;"&amp;EDATE(A4,1))</f>
        <v/>
      </c>
      <c r="G4" s="21">
        <f>F4-E4</f>
        <v/>
      </c>
      <c r="H4" s="21">
        <f>SUMIFS(tblCashFlows[Contribution Amount],tblCashFlows[Entity],"Kat Trust",tblCashFlows[Transaction Date],"&gt;="&amp;A4,tblCashFlows[Transaction Date],"&lt;"&amp;EDATE(A4,1))</f>
        <v/>
      </c>
      <c r="I4" s="21">
        <f>SUMIFS(tblCashFlows[Distribution Amount],tblCashFlows[Entity],"Kat Trust",tblCashFlows[Transaction Date],"&gt;="&amp;A4,tblCashFlows[Transaction Date],"&lt;"&amp;EDATE(A4,1))</f>
        <v/>
      </c>
      <c r="J4" s="21">
        <f>I4-H4</f>
        <v/>
      </c>
      <c r="K4" s="21">
        <f>SUMIFS(tblCashFlows[Contribution Amount],tblCashFlows[Entity],"Nat Trust",tblCashFlows[Transaction Date],"&gt;="&amp;A4,tblCashFlows[Transaction Date],"&lt;"&amp;EDATE(A4,1))</f>
        <v/>
      </c>
      <c r="L4" s="21">
        <f>SUMIFS(tblCashFlows[Distribution Amount],tblCashFlows[Entity],"Nat Trust",tblCashFlows[Transaction Date],"&gt;="&amp;A4,tblCashFlows[Transaction Date],"&lt;"&amp;EDATE(A4,1))</f>
        <v/>
      </c>
      <c r="M4" s="21">
        <f>L4-K4</f>
        <v/>
      </c>
      <c r="N4" s="21">
        <f>SUM(B4,E4,H4,K4)</f>
        <v/>
      </c>
      <c r="O4" s="21">
        <f>SUM(C4,F4,I4,L4)</f>
        <v/>
      </c>
      <c r="P4" s="21">
        <f>O4-N4</f>
        <v/>
      </c>
    </row>
    <row r="5">
      <c r="A5" s="26" t="n">
        <v>43221</v>
      </c>
      <c r="B5" s="21">
        <f>SUMIFS(tblCashFlows[Contribution Amount],tblCashFlows[Entity],"Beaman Ventures",tblCashFlows[Transaction Date],"&gt;="&amp;A5,tblCashFlows[Transaction Date],"&lt;"&amp;EDATE(A5,1))</f>
        <v/>
      </c>
      <c r="C5" s="21">
        <f>SUMIFS(tblCashFlows[Distribution Amount],tblCashFlows[Entity],"Beaman Ventures",tblCashFlows[Transaction Date],"&gt;="&amp;A5,tblCashFlows[Transaction Date],"&lt;"&amp;EDATE(A5,1))</f>
        <v/>
      </c>
      <c r="D5" s="21">
        <f>C5-B5</f>
        <v/>
      </c>
      <c r="E5" s="21">
        <f>SUMIFS(tblCashFlows[Contribution Amount],tblCashFlows[Entity],"Lee Beaman",tblCashFlows[Transaction Date],"&gt;="&amp;A5,tblCashFlows[Transaction Date],"&lt;"&amp;EDATE(A5,1))</f>
        <v/>
      </c>
      <c r="F5" s="21">
        <f>SUMIFS(tblCashFlows[Distribution Amount],tblCashFlows[Entity],"Lee Beaman",tblCashFlows[Transaction Date],"&gt;="&amp;A5,tblCashFlows[Transaction Date],"&lt;"&amp;EDATE(A5,1))</f>
        <v/>
      </c>
      <c r="G5" s="21">
        <f>F5-E5</f>
        <v/>
      </c>
      <c r="H5" s="21">
        <f>SUMIFS(tblCashFlows[Contribution Amount],tblCashFlows[Entity],"Kat Trust",tblCashFlows[Transaction Date],"&gt;="&amp;A5,tblCashFlows[Transaction Date],"&lt;"&amp;EDATE(A5,1))</f>
        <v/>
      </c>
      <c r="I5" s="21">
        <f>SUMIFS(tblCashFlows[Distribution Amount],tblCashFlows[Entity],"Kat Trust",tblCashFlows[Transaction Date],"&gt;="&amp;A5,tblCashFlows[Transaction Date],"&lt;"&amp;EDATE(A5,1))</f>
        <v/>
      </c>
      <c r="J5" s="21">
        <f>I5-H5</f>
        <v/>
      </c>
      <c r="K5" s="21">
        <f>SUMIFS(tblCashFlows[Contribution Amount],tblCashFlows[Entity],"Nat Trust",tblCashFlows[Transaction Date],"&gt;="&amp;A5,tblCashFlows[Transaction Date],"&lt;"&amp;EDATE(A5,1))</f>
        <v/>
      </c>
      <c r="L5" s="21">
        <f>SUMIFS(tblCashFlows[Distribution Amount],tblCashFlows[Entity],"Nat Trust",tblCashFlows[Transaction Date],"&gt;="&amp;A5,tblCashFlows[Transaction Date],"&lt;"&amp;EDATE(A5,1))</f>
        <v/>
      </c>
      <c r="M5" s="21">
        <f>L5-K5</f>
        <v/>
      </c>
      <c r="N5" s="21">
        <f>SUM(B5,E5,H5,K5)</f>
        <v/>
      </c>
      <c r="O5" s="21">
        <f>SUM(C5,F5,I5,L5)</f>
        <v/>
      </c>
      <c r="P5" s="21">
        <f>O5-N5</f>
        <v/>
      </c>
    </row>
    <row r="6">
      <c r="A6" s="26" t="n">
        <v>43252</v>
      </c>
      <c r="B6" s="21">
        <f>SUMIFS(tblCashFlows[Contribution Amount],tblCashFlows[Entity],"Beaman Ventures",tblCashFlows[Transaction Date],"&gt;="&amp;A6,tblCashFlows[Transaction Date],"&lt;"&amp;EDATE(A6,1))</f>
        <v/>
      </c>
      <c r="C6" s="21">
        <f>SUMIFS(tblCashFlows[Distribution Amount],tblCashFlows[Entity],"Beaman Ventures",tblCashFlows[Transaction Date],"&gt;="&amp;A6,tblCashFlows[Transaction Date],"&lt;"&amp;EDATE(A6,1))</f>
        <v/>
      </c>
      <c r="D6" s="21">
        <f>C6-B6</f>
        <v/>
      </c>
      <c r="E6" s="21">
        <f>SUMIFS(tblCashFlows[Contribution Amount],tblCashFlows[Entity],"Lee Beaman",tblCashFlows[Transaction Date],"&gt;="&amp;A6,tblCashFlows[Transaction Date],"&lt;"&amp;EDATE(A6,1))</f>
        <v/>
      </c>
      <c r="F6" s="21">
        <f>SUMIFS(tblCashFlows[Distribution Amount],tblCashFlows[Entity],"Lee Beaman",tblCashFlows[Transaction Date],"&gt;="&amp;A6,tblCashFlows[Transaction Date],"&lt;"&amp;EDATE(A6,1))</f>
        <v/>
      </c>
      <c r="G6" s="21">
        <f>F6-E6</f>
        <v/>
      </c>
      <c r="H6" s="21">
        <f>SUMIFS(tblCashFlows[Contribution Amount],tblCashFlows[Entity],"Kat Trust",tblCashFlows[Transaction Date],"&gt;="&amp;A6,tblCashFlows[Transaction Date],"&lt;"&amp;EDATE(A6,1))</f>
        <v/>
      </c>
      <c r="I6" s="21">
        <f>SUMIFS(tblCashFlows[Distribution Amount],tblCashFlows[Entity],"Kat Trust",tblCashFlows[Transaction Date],"&gt;="&amp;A6,tblCashFlows[Transaction Date],"&lt;"&amp;EDATE(A6,1))</f>
        <v/>
      </c>
      <c r="J6" s="21">
        <f>I6-H6</f>
        <v/>
      </c>
      <c r="K6" s="21">
        <f>SUMIFS(tblCashFlows[Contribution Amount],tblCashFlows[Entity],"Nat Trust",tblCashFlows[Transaction Date],"&gt;="&amp;A6,tblCashFlows[Transaction Date],"&lt;"&amp;EDATE(A6,1))</f>
        <v/>
      </c>
      <c r="L6" s="21">
        <f>SUMIFS(tblCashFlows[Distribution Amount],tblCashFlows[Entity],"Nat Trust",tblCashFlows[Transaction Date],"&gt;="&amp;A6,tblCashFlows[Transaction Date],"&lt;"&amp;EDATE(A6,1))</f>
        <v/>
      </c>
      <c r="M6" s="21">
        <f>L6-K6</f>
        <v/>
      </c>
      <c r="N6" s="21">
        <f>SUM(B6,E6,H6,K6)</f>
        <v/>
      </c>
      <c r="O6" s="21">
        <f>SUM(C6,F6,I6,L6)</f>
        <v/>
      </c>
      <c r="P6" s="21">
        <f>O6-N6</f>
        <v/>
      </c>
    </row>
    <row r="7">
      <c r="A7" s="26" t="n">
        <v>43282</v>
      </c>
      <c r="B7" s="21">
        <f>SUMIFS(tblCashFlows[Contribution Amount],tblCashFlows[Entity],"Beaman Ventures",tblCashFlows[Transaction Date],"&gt;="&amp;A7,tblCashFlows[Transaction Date],"&lt;"&amp;EDATE(A7,1))</f>
        <v/>
      </c>
      <c r="C7" s="21">
        <f>SUMIFS(tblCashFlows[Distribution Amount],tblCashFlows[Entity],"Beaman Ventures",tblCashFlows[Transaction Date],"&gt;="&amp;A7,tblCashFlows[Transaction Date],"&lt;"&amp;EDATE(A7,1))</f>
        <v/>
      </c>
      <c r="D7" s="21">
        <f>C7-B7</f>
        <v/>
      </c>
      <c r="E7" s="21">
        <f>SUMIFS(tblCashFlows[Contribution Amount],tblCashFlows[Entity],"Lee Beaman",tblCashFlows[Transaction Date],"&gt;="&amp;A7,tblCashFlows[Transaction Date],"&lt;"&amp;EDATE(A7,1))</f>
        <v/>
      </c>
      <c r="F7" s="21">
        <f>SUMIFS(tblCashFlows[Distribution Amount],tblCashFlows[Entity],"Lee Beaman",tblCashFlows[Transaction Date],"&gt;="&amp;A7,tblCashFlows[Transaction Date],"&lt;"&amp;EDATE(A7,1))</f>
        <v/>
      </c>
      <c r="G7" s="21">
        <f>F7-E7</f>
        <v/>
      </c>
      <c r="H7" s="21">
        <f>SUMIFS(tblCashFlows[Contribution Amount],tblCashFlows[Entity],"Kat Trust",tblCashFlows[Transaction Date],"&gt;="&amp;A7,tblCashFlows[Transaction Date],"&lt;"&amp;EDATE(A7,1))</f>
        <v/>
      </c>
      <c r="I7" s="21">
        <f>SUMIFS(tblCashFlows[Distribution Amount],tblCashFlows[Entity],"Kat Trust",tblCashFlows[Transaction Date],"&gt;="&amp;A7,tblCashFlows[Transaction Date],"&lt;"&amp;EDATE(A7,1))</f>
        <v/>
      </c>
      <c r="J7" s="21">
        <f>I7-H7</f>
        <v/>
      </c>
      <c r="K7" s="21">
        <f>SUMIFS(tblCashFlows[Contribution Amount],tblCashFlows[Entity],"Nat Trust",tblCashFlows[Transaction Date],"&gt;="&amp;A7,tblCashFlows[Transaction Date],"&lt;"&amp;EDATE(A7,1))</f>
        <v/>
      </c>
      <c r="L7" s="21">
        <f>SUMIFS(tblCashFlows[Distribution Amount],tblCashFlows[Entity],"Nat Trust",tblCashFlows[Transaction Date],"&gt;="&amp;A7,tblCashFlows[Transaction Date],"&lt;"&amp;EDATE(A7,1))</f>
        <v/>
      </c>
      <c r="M7" s="21">
        <f>L7-K7</f>
        <v/>
      </c>
      <c r="N7" s="21">
        <f>SUM(B7,E7,H7,K7)</f>
        <v/>
      </c>
      <c r="O7" s="21">
        <f>SUM(C7,F7,I7,L7)</f>
        <v/>
      </c>
      <c r="P7" s="21">
        <f>O7-N7</f>
        <v/>
      </c>
    </row>
    <row r="8">
      <c r="A8" s="26" t="n">
        <v>43313</v>
      </c>
      <c r="B8" s="21">
        <f>SUMIFS(tblCashFlows[Contribution Amount],tblCashFlows[Entity],"Beaman Ventures",tblCashFlows[Transaction Date],"&gt;="&amp;A8,tblCashFlows[Transaction Date],"&lt;"&amp;EDATE(A8,1))</f>
        <v/>
      </c>
      <c r="C8" s="21">
        <f>SUMIFS(tblCashFlows[Distribution Amount],tblCashFlows[Entity],"Beaman Ventures",tblCashFlows[Transaction Date],"&gt;="&amp;A8,tblCashFlows[Transaction Date],"&lt;"&amp;EDATE(A8,1))</f>
        <v/>
      </c>
      <c r="D8" s="21">
        <f>C8-B8</f>
        <v/>
      </c>
      <c r="E8" s="21">
        <f>SUMIFS(tblCashFlows[Contribution Amount],tblCashFlows[Entity],"Lee Beaman",tblCashFlows[Transaction Date],"&gt;="&amp;A8,tblCashFlows[Transaction Date],"&lt;"&amp;EDATE(A8,1))</f>
        <v/>
      </c>
      <c r="F8" s="21">
        <f>SUMIFS(tblCashFlows[Distribution Amount],tblCashFlows[Entity],"Lee Beaman",tblCashFlows[Transaction Date],"&gt;="&amp;A8,tblCashFlows[Transaction Date],"&lt;"&amp;EDATE(A8,1))</f>
        <v/>
      </c>
      <c r="G8" s="21">
        <f>F8-E8</f>
        <v/>
      </c>
      <c r="H8" s="21">
        <f>SUMIFS(tblCashFlows[Contribution Amount],tblCashFlows[Entity],"Kat Trust",tblCashFlows[Transaction Date],"&gt;="&amp;A8,tblCashFlows[Transaction Date],"&lt;"&amp;EDATE(A8,1))</f>
        <v/>
      </c>
      <c r="I8" s="21">
        <f>SUMIFS(tblCashFlows[Distribution Amount],tblCashFlows[Entity],"Kat Trust",tblCashFlows[Transaction Date],"&gt;="&amp;A8,tblCashFlows[Transaction Date],"&lt;"&amp;EDATE(A8,1))</f>
        <v/>
      </c>
      <c r="J8" s="21">
        <f>I8-H8</f>
        <v/>
      </c>
      <c r="K8" s="21">
        <f>SUMIFS(tblCashFlows[Contribution Amount],tblCashFlows[Entity],"Nat Trust",tblCashFlows[Transaction Date],"&gt;="&amp;A8,tblCashFlows[Transaction Date],"&lt;"&amp;EDATE(A8,1))</f>
        <v/>
      </c>
      <c r="L8" s="21">
        <f>SUMIFS(tblCashFlows[Distribution Amount],tblCashFlows[Entity],"Nat Trust",tblCashFlows[Transaction Date],"&gt;="&amp;A8,tblCashFlows[Transaction Date],"&lt;"&amp;EDATE(A8,1))</f>
        <v/>
      </c>
      <c r="M8" s="21">
        <f>L8-K8</f>
        <v/>
      </c>
      <c r="N8" s="21">
        <f>SUM(B8,E8,H8,K8)</f>
        <v/>
      </c>
      <c r="O8" s="21">
        <f>SUM(C8,F8,I8,L8)</f>
        <v/>
      </c>
      <c r="P8" s="21">
        <f>O8-N8</f>
        <v/>
      </c>
    </row>
    <row r="9">
      <c r="A9" s="26" t="n">
        <v>43344</v>
      </c>
      <c r="B9" s="21">
        <f>SUMIFS(tblCashFlows[Contribution Amount],tblCashFlows[Entity],"Beaman Ventures",tblCashFlows[Transaction Date],"&gt;="&amp;A9,tblCashFlows[Transaction Date],"&lt;"&amp;EDATE(A9,1))</f>
        <v/>
      </c>
      <c r="C9" s="21">
        <f>SUMIFS(tblCashFlows[Distribution Amount],tblCashFlows[Entity],"Beaman Ventures",tblCashFlows[Transaction Date],"&gt;="&amp;A9,tblCashFlows[Transaction Date],"&lt;"&amp;EDATE(A9,1))</f>
        <v/>
      </c>
      <c r="D9" s="21">
        <f>C9-B9</f>
        <v/>
      </c>
      <c r="E9" s="21">
        <f>SUMIFS(tblCashFlows[Contribution Amount],tblCashFlows[Entity],"Lee Beaman",tblCashFlows[Transaction Date],"&gt;="&amp;A9,tblCashFlows[Transaction Date],"&lt;"&amp;EDATE(A9,1))</f>
        <v/>
      </c>
      <c r="F9" s="21">
        <f>SUMIFS(tblCashFlows[Distribution Amount],tblCashFlows[Entity],"Lee Beaman",tblCashFlows[Transaction Date],"&gt;="&amp;A9,tblCashFlows[Transaction Date],"&lt;"&amp;EDATE(A9,1))</f>
        <v/>
      </c>
      <c r="G9" s="21">
        <f>F9-E9</f>
        <v/>
      </c>
      <c r="H9" s="21">
        <f>SUMIFS(tblCashFlows[Contribution Amount],tblCashFlows[Entity],"Kat Trust",tblCashFlows[Transaction Date],"&gt;="&amp;A9,tblCashFlows[Transaction Date],"&lt;"&amp;EDATE(A9,1))</f>
        <v/>
      </c>
      <c r="I9" s="21">
        <f>SUMIFS(tblCashFlows[Distribution Amount],tblCashFlows[Entity],"Kat Trust",tblCashFlows[Transaction Date],"&gt;="&amp;A9,tblCashFlows[Transaction Date],"&lt;"&amp;EDATE(A9,1))</f>
        <v/>
      </c>
      <c r="J9" s="21">
        <f>I9-H9</f>
        <v/>
      </c>
      <c r="K9" s="21">
        <f>SUMIFS(tblCashFlows[Contribution Amount],tblCashFlows[Entity],"Nat Trust",tblCashFlows[Transaction Date],"&gt;="&amp;A9,tblCashFlows[Transaction Date],"&lt;"&amp;EDATE(A9,1))</f>
        <v/>
      </c>
      <c r="L9" s="21">
        <f>SUMIFS(tblCashFlows[Distribution Amount],tblCashFlows[Entity],"Nat Trust",tblCashFlows[Transaction Date],"&gt;="&amp;A9,tblCashFlows[Transaction Date],"&lt;"&amp;EDATE(A9,1))</f>
        <v/>
      </c>
      <c r="M9" s="21">
        <f>L9-K9</f>
        <v/>
      </c>
      <c r="N9" s="21">
        <f>SUM(B9,E9,H9,K9)</f>
        <v/>
      </c>
      <c r="O9" s="21">
        <f>SUM(C9,F9,I9,L9)</f>
        <v/>
      </c>
      <c r="P9" s="21">
        <f>O9-N9</f>
        <v/>
      </c>
    </row>
    <row r="10">
      <c r="A10" s="26" t="n">
        <v>43374</v>
      </c>
      <c r="B10" s="21">
        <f>SUMIFS(tblCashFlows[Contribution Amount],tblCashFlows[Entity],"Beaman Ventures",tblCashFlows[Transaction Date],"&gt;="&amp;A10,tblCashFlows[Transaction Date],"&lt;"&amp;EDATE(A10,1))</f>
        <v/>
      </c>
      <c r="C10" s="21">
        <f>SUMIFS(tblCashFlows[Distribution Amount],tblCashFlows[Entity],"Beaman Ventures",tblCashFlows[Transaction Date],"&gt;="&amp;A10,tblCashFlows[Transaction Date],"&lt;"&amp;EDATE(A10,1))</f>
        <v/>
      </c>
      <c r="D10" s="21">
        <f>C10-B10</f>
        <v/>
      </c>
      <c r="E10" s="21">
        <f>SUMIFS(tblCashFlows[Contribution Amount],tblCashFlows[Entity],"Lee Beaman",tblCashFlows[Transaction Date],"&gt;="&amp;A10,tblCashFlows[Transaction Date],"&lt;"&amp;EDATE(A10,1))</f>
        <v/>
      </c>
      <c r="F10" s="21">
        <f>SUMIFS(tblCashFlows[Distribution Amount],tblCashFlows[Entity],"Lee Beaman",tblCashFlows[Transaction Date],"&gt;="&amp;A10,tblCashFlows[Transaction Date],"&lt;"&amp;EDATE(A10,1))</f>
        <v/>
      </c>
      <c r="G10" s="21">
        <f>F10-E10</f>
        <v/>
      </c>
      <c r="H10" s="21">
        <f>SUMIFS(tblCashFlows[Contribution Amount],tblCashFlows[Entity],"Kat Trust",tblCashFlows[Transaction Date],"&gt;="&amp;A10,tblCashFlows[Transaction Date],"&lt;"&amp;EDATE(A10,1))</f>
        <v/>
      </c>
      <c r="I10" s="21">
        <f>SUMIFS(tblCashFlows[Distribution Amount],tblCashFlows[Entity],"Kat Trust",tblCashFlows[Transaction Date],"&gt;="&amp;A10,tblCashFlows[Transaction Date],"&lt;"&amp;EDATE(A10,1))</f>
        <v/>
      </c>
      <c r="J10" s="21">
        <f>I10-H10</f>
        <v/>
      </c>
      <c r="K10" s="21">
        <f>SUMIFS(tblCashFlows[Contribution Amount],tblCashFlows[Entity],"Nat Trust",tblCashFlows[Transaction Date],"&gt;="&amp;A10,tblCashFlows[Transaction Date],"&lt;"&amp;EDATE(A10,1))</f>
        <v/>
      </c>
      <c r="L10" s="21">
        <f>SUMIFS(tblCashFlows[Distribution Amount],tblCashFlows[Entity],"Nat Trust",tblCashFlows[Transaction Date],"&gt;="&amp;A10,tblCashFlows[Transaction Date],"&lt;"&amp;EDATE(A10,1))</f>
        <v/>
      </c>
      <c r="M10" s="21">
        <f>L10-K10</f>
        <v/>
      </c>
      <c r="N10" s="21">
        <f>SUM(B10,E10,H10,K10)</f>
        <v/>
      </c>
      <c r="O10" s="21">
        <f>SUM(C10,F10,I10,L10)</f>
        <v/>
      </c>
      <c r="P10" s="21">
        <f>O10-N10</f>
        <v/>
      </c>
    </row>
    <row r="11">
      <c r="A11" s="26" t="n">
        <v>43405</v>
      </c>
      <c r="B11" s="21">
        <f>SUMIFS(tblCashFlows[Contribution Amount],tblCashFlows[Entity],"Beaman Ventures",tblCashFlows[Transaction Date],"&gt;="&amp;A11,tblCashFlows[Transaction Date],"&lt;"&amp;EDATE(A11,1))</f>
        <v/>
      </c>
      <c r="C11" s="21">
        <f>SUMIFS(tblCashFlows[Distribution Amount],tblCashFlows[Entity],"Beaman Ventures",tblCashFlows[Transaction Date],"&gt;="&amp;A11,tblCashFlows[Transaction Date],"&lt;"&amp;EDATE(A11,1))</f>
        <v/>
      </c>
      <c r="D11" s="21">
        <f>C11-B11</f>
        <v/>
      </c>
      <c r="E11" s="21">
        <f>SUMIFS(tblCashFlows[Contribution Amount],tblCashFlows[Entity],"Lee Beaman",tblCashFlows[Transaction Date],"&gt;="&amp;A11,tblCashFlows[Transaction Date],"&lt;"&amp;EDATE(A11,1))</f>
        <v/>
      </c>
      <c r="F11" s="21">
        <f>SUMIFS(tblCashFlows[Distribution Amount],tblCashFlows[Entity],"Lee Beaman",tblCashFlows[Transaction Date],"&gt;="&amp;A11,tblCashFlows[Transaction Date],"&lt;"&amp;EDATE(A11,1))</f>
        <v/>
      </c>
      <c r="G11" s="21">
        <f>F11-E11</f>
        <v/>
      </c>
      <c r="H11" s="21">
        <f>SUMIFS(tblCashFlows[Contribution Amount],tblCashFlows[Entity],"Kat Trust",tblCashFlows[Transaction Date],"&gt;="&amp;A11,tblCashFlows[Transaction Date],"&lt;"&amp;EDATE(A11,1))</f>
        <v/>
      </c>
      <c r="I11" s="21">
        <f>SUMIFS(tblCashFlows[Distribution Amount],tblCashFlows[Entity],"Kat Trust",tblCashFlows[Transaction Date],"&gt;="&amp;A11,tblCashFlows[Transaction Date],"&lt;"&amp;EDATE(A11,1))</f>
        <v/>
      </c>
      <c r="J11" s="21">
        <f>I11-H11</f>
        <v/>
      </c>
      <c r="K11" s="21">
        <f>SUMIFS(tblCashFlows[Contribution Amount],tblCashFlows[Entity],"Nat Trust",tblCashFlows[Transaction Date],"&gt;="&amp;A11,tblCashFlows[Transaction Date],"&lt;"&amp;EDATE(A11,1))</f>
        <v/>
      </c>
      <c r="L11" s="21">
        <f>SUMIFS(tblCashFlows[Distribution Amount],tblCashFlows[Entity],"Nat Trust",tblCashFlows[Transaction Date],"&gt;="&amp;A11,tblCashFlows[Transaction Date],"&lt;"&amp;EDATE(A11,1))</f>
        <v/>
      </c>
      <c r="M11" s="21">
        <f>L11-K11</f>
        <v/>
      </c>
      <c r="N11" s="21">
        <f>SUM(B11,E11,H11,K11)</f>
        <v/>
      </c>
      <c r="O11" s="21">
        <f>SUM(C11,F11,I11,L11)</f>
        <v/>
      </c>
      <c r="P11" s="21">
        <f>O11-N11</f>
        <v/>
      </c>
    </row>
    <row r="12">
      <c r="A12" s="26" t="n">
        <v>43435</v>
      </c>
      <c r="B12" s="21">
        <f>SUMIFS(tblCashFlows[Contribution Amount],tblCashFlows[Entity],"Beaman Ventures",tblCashFlows[Transaction Date],"&gt;="&amp;A12,tblCashFlows[Transaction Date],"&lt;"&amp;EDATE(A12,1))</f>
        <v/>
      </c>
      <c r="C12" s="21">
        <f>SUMIFS(tblCashFlows[Distribution Amount],tblCashFlows[Entity],"Beaman Ventures",tblCashFlows[Transaction Date],"&gt;="&amp;A12,tblCashFlows[Transaction Date],"&lt;"&amp;EDATE(A12,1))</f>
        <v/>
      </c>
      <c r="D12" s="21">
        <f>C12-B12</f>
        <v/>
      </c>
      <c r="E12" s="21">
        <f>SUMIFS(tblCashFlows[Contribution Amount],tblCashFlows[Entity],"Lee Beaman",tblCashFlows[Transaction Date],"&gt;="&amp;A12,tblCashFlows[Transaction Date],"&lt;"&amp;EDATE(A12,1))</f>
        <v/>
      </c>
      <c r="F12" s="21">
        <f>SUMIFS(tblCashFlows[Distribution Amount],tblCashFlows[Entity],"Lee Beaman",tblCashFlows[Transaction Date],"&gt;="&amp;A12,tblCashFlows[Transaction Date],"&lt;"&amp;EDATE(A12,1))</f>
        <v/>
      </c>
      <c r="G12" s="21">
        <f>F12-E12</f>
        <v/>
      </c>
      <c r="H12" s="21">
        <f>SUMIFS(tblCashFlows[Contribution Amount],tblCashFlows[Entity],"Kat Trust",tblCashFlows[Transaction Date],"&gt;="&amp;A12,tblCashFlows[Transaction Date],"&lt;"&amp;EDATE(A12,1))</f>
        <v/>
      </c>
      <c r="I12" s="21">
        <f>SUMIFS(tblCashFlows[Distribution Amount],tblCashFlows[Entity],"Kat Trust",tblCashFlows[Transaction Date],"&gt;="&amp;A12,tblCashFlows[Transaction Date],"&lt;"&amp;EDATE(A12,1))</f>
        <v/>
      </c>
      <c r="J12" s="21">
        <f>I12-H12</f>
        <v/>
      </c>
      <c r="K12" s="21">
        <f>SUMIFS(tblCashFlows[Contribution Amount],tblCashFlows[Entity],"Nat Trust",tblCashFlows[Transaction Date],"&gt;="&amp;A12,tblCashFlows[Transaction Date],"&lt;"&amp;EDATE(A12,1))</f>
        <v/>
      </c>
      <c r="L12" s="21">
        <f>SUMIFS(tblCashFlows[Distribution Amount],tblCashFlows[Entity],"Nat Trust",tblCashFlows[Transaction Date],"&gt;="&amp;A12,tblCashFlows[Transaction Date],"&lt;"&amp;EDATE(A12,1))</f>
        <v/>
      </c>
      <c r="M12" s="21">
        <f>L12-K12</f>
        <v/>
      </c>
      <c r="N12" s="21">
        <f>SUM(B12,E12,H12,K12)</f>
        <v/>
      </c>
      <c r="O12" s="21">
        <f>SUM(C12,F12,I12,L12)</f>
        <v/>
      </c>
      <c r="P12" s="21">
        <f>O12-N12</f>
        <v/>
      </c>
    </row>
    <row r="13">
      <c r="A13" s="26" t="n">
        <v>43466</v>
      </c>
      <c r="B13" s="21">
        <f>SUMIFS(tblCashFlows[Contribution Amount],tblCashFlows[Entity],"Beaman Ventures",tblCashFlows[Transaction Date],"&gt;="&amp;A13,tblCashFlows[Transaction Date],"&lt;"&amp;EDATE(A13,1))</f>
        <v/>
      </c>
      <c r="C13" s="21">
        <f>SUMIFS(tblCashFlows[Distribution Amount],tblCashFlows[Entity],"Beaman Ventures",tblCashFlows[Transaction Date],"&gt;="&amp;A13,tblCashFlows[Transaction Date],"&lt;"&amp;EDATE(A13,1))</f>
        <v/>
      </c>
      <c r="D13" s="21">
        <f>C13-B13</f>
        <v/>
      </c>
      <c r="E13" s="21">
        <f>SUMIFS(tblCashFlows[Contribution Amount],tblCashFlows[Entity],"Lee Beaman",tblCashFlows[Transaction Date],"&gt;="&amp;A13,tblCashFlows[Transaction Date],"&lt;"&amp;EDATE(A13,1))</f>
        <v/>
      </c>
      <c r="F13" s="21">
        <f>SUMIFS(tblCashFlows[Distribution Amount],tblCashFlows[Entity],"Lee Beaman",tblCashFlows[Transaction Date],"&gt;="&amp;A13,tblCashFlows[Transaction Date],"&lt;"&amp;EDATE(A13,1))</f>
        <v/>
      </c>
      <c r="G13" s="21">
        <f>F13-E13</f>
        <v/>
      </c>
      <c r="H13" s="21">
        <f>SUMIFS(tblCashFlows[Contribution Amount],tblCashFlows[Entity],"Kat Trust",tblCashFlows[Transaction Date],"&gt;="&amp;A13,tblCashFlows[Transaction Date],"&lt;"&amp;EDATE(A13,1))</f>
        <v/>
      </c>
      <c r="I13" s="21">
        <f>SUMIFS(tblCashFlows[Distribution Amount],tblCashFlows[Entity],"Kat Trust",tblCashFlows[Transaction Date],"&gt;="&amp;A13,tblCashFlows[Transaction Date],"&lt;"&amp;EDATE(A13,1))</f>
        <v/>
      </c>
      <c r="J13" s="21">
        <f>I13-H13</f>
        <v/>
      </c>
      <c r="K13" s="21">
        <f>SUMIFS(tblCashFlows[Contribution Amount],tblCashFlows[Entity],"Nat Trust",tblCashFlows[Transaction Date],"&gt;="&amp;A13,tblCashFlows[Transaction Date],"&lt;"&amp;EDATE(A13,1))</f>
        <v/>
      </c>
      <c r="L13" s="21">
        <f>SUMIFS(tblCashFlows[Distribution Amount],tblCashFlows[Entity],"Nat Trust",tblCashFlows[Transaction Date],"&gt;="&amp;A13,tblCashFlows[Transaction Date],"&lt;"&amp;EDATE(A13,1))</f>
        <v/>
      </c>
      <c r="M13" s="21">
        <f>L13-K13</f>
        <v/>
      </c>
      <c r="N13" s="21">
        <f>SUM(B13,E13,H13,K13)</f>
        <v/>
      </c>
      <c r="O13" s="21">
        <f>SUM(C13,F13,I13,L13)</f>
        <v/>
      </c>
      <c r="P13" s="21">
        <f>O13-N13</f>
        <v/>
      </c>
    </row>
    <row r="14">
      <c r="A14" s="26" t="n">
        <v>43497</v>
      </c>
      <c r="B14" s="21">
        <f>SUMIFS(tblCashFlows[Contribution Amount],tblCashFlows[Entity],"Beaman Ventures",tblCashFlows[Transaction Date],"&gt;="&amp;A14,tblCashFlows[Transaction Date],"&lt;"&amp;EDATE(A14,1))</f>
        <v/>
      </c>
      <c r="C14" s="21">
        <f>SUMIFS(tblCashFlows[Distribution Amount],tblCashFlows[Entity],"Beaman Ventures",tblCashFlows[Transaction Date],"&gt;="&amp;A14,tblCashFlows[Transaction Date],"&lt;"&amp;EDATE(A14,1))</f>
        <v/>
      </c>
      <c r="D14" s="21">
        <f>C14-B14</f>
        <v/>
      </c>
      <c r="E14" s="21">
        <f>SUMIFS(tblCashFlows[Contribution Amount],tblCashFlows[Entity],"Lee Beaman",tblCashFlows[Transaction Date],"&gt;="&amp;A14,tblCashFlows[Transaction Date],"&lt;"&amp;EDATE(A14,1))</f>
        <v/>
      </c>
      <c r="F14" s="21">
        <f>SUMIFS(tblCashFlows[Distribution Amount],tblCashFlows[Entity],"Lee Beaman",tblCashFlows[Transaction Date],"&gt;="&amp;A14,tblCashFlows[Transaction Date],"&lt;"&amp;EDATE(A14,1))</f>
        <v/>
      </c>
      <c r="G14" s="21">
        <f>F14-E14</f>
        <v/>
      </c>
      <c r="H14" s="21">
        <f>SUMIFS(tblCashFlows[Contribution Amount],tblCashFlows[Entity],"Kat Trust",tblCashFlows[Transaction Date],"&gt;="&amp;A14,tblCashFlows[Transaction Date],"&lt;"&amp;EDATE(A14,1))</f>
        <v/>
      </c>
      <c r="I14" s="21">
        <f>SUMIFS(tblCashFlows[Distribution Amount],tblCashFlows[Entity],"Kat Trust",tblCashFlows[Transaction Date],"&gt;="&amp;A14,tblCashFlows[Transaction Date],"&lt;"&amp;EDATE(A14,1))</f>
        <v/>
      </c>
      <c r="J14" s="21">
        <f>I14-H14</f>
        <v/>
      </c>
      <c r="K14" s="21">
        <f>SUMIFS(tblCashFlows[Contribution Amount],tblCashFlows[Entity],"Nat Trust",tblCashFlows[Transaction Date],"&gt;="&amp;A14,tblCashFlows[Transaction Date],"&lt;"&amp;EDATE(A14,1))</f>
        <v/>
      </c>
      <c r="L14" s="21">
        <f>SUMIFS(tblCashFlows[Distribution Amount],tblCashFlows[Entity],"Nat Trust",tblCashFlows[Transaction Date],"&gt;="&amp;A14,tblCashFlows[Transaction Date],"&lt;"&amp;EDATE(A14,1))</f>
        <v/>
      </c>
      <c r="M14" s="21">
        <f>L14-K14</f>
        <v/>
      </c>
      <c r="N14" s="21">
        <f>SUM(B14,E14,H14,K14)</f>
        <v/>
      </c>
      <c r="O14" s="21">
        <f>SUM(C14,F14,I14,L14)</f>
        <v/>
      </c>
      <c r="P14" s="21">
        <f>O14-N14</f>
        <v/>
      </c>
    </row>
    <row r="15">
      <c r="A15" s="26" t="n">
        <v>43525</v>
      </c>
      <c r="B15" s="21">
        <f>SUMIFS(tblCashFlows[Contribution Amount],tblCashFlows[Entity],"Beaman Ventures",tblCashFlows[Transaction Date],"&gt;="&amp;A15,tblCashFlows[Transaction Date],"&lt;"&amp;EDATE(A15,1))</f>
        <v/>
      </c>
      <c r="C15" s="21">
        <f>SUMIFS(tblCashFlows[Distribution Amount],tblCashFlows[Entity],"Beaman Ventures",tblCashFlows[Transaction Date],"&gt;="&amp;A15,tblCashFlows[Transaction Date],"&lt;"&amp;EDATE(A15,1))</f>
        <v/>
      </c>
      <c r="D15" s="21">
        <f>C15-B15</f>
        <v/>
      </c>
      <c r="E15" s="21">
        <f>SUMIFS(tblCashFlows[Contribution Amount],tblCashFlows[Entity],"Lee Beaman",tblCashFlows[Transaction Date],"&gt;="&amp;A15,tblCashFlows[Transaction Date],"&lt;"&amp;EDATE(A15,1))</f>
        <v/>
      </c>
      <c r="F15" s="21">
        <f>SUMIFS(tblCashFlows[Distribution Amount],tblCashFlows[Entity],"Lee Beaman",tblCashFlows[Transaction Date],"&gt;="&amp;A15,tblCashFlows[Transaction Date],"&lt;"&amp;EDATE(A15,1))</f>
        <v/>
      </c>
      <c r="G15" s="21">
        <f>F15-E15</f>
        <v/>
      </c>
      <c r="H15" s="21">
        <f>SUMIFS(tblCashFlows[Contribution Amount],tblCashFlows[Entity],"Kat Trust",tblCashFlows[Transaction Date],"&gt;="&amp;A15,tblCashFlows[Transaction Date],"&lt;"&amp;EDATE(A15,1))</f>
        <v/>
      </c>
      <c r="I15" s="21">
        <f>SUMIFS(tblCashFlows[Distribution Amount],tblCashFlows[Entity],"Kat Trust",tblCashFlows[Transaction Date],"&gt;="&amp;A15,tblCashFlows[Transaction Date],"&lt;"&amp;EDATE(A15,1))</f>
        <v/>
      </c>
      <c r="J15" s="21">
        <f>I15-H15</f>
        <v/>
      </c>
      <c r="K15" s="21">
        <f>SUMIFS(tblCashFlows[Contribution Amount],tblCashFlows[Entity],"Nat Trust",tblCashFlows[Transaction Date],"&gt;="&amp;A15,tblCashFlows[Transaction Date],"&lt;"&amp;EDATE(A15,1))</f>
        <v/>
      </c>
      <c r="L15" s="21">
        <f>SUMIFS(tblCashFlows[Distribution Amount],tblCashFlows[Entity],"Nat Trust",tblCashFlows[Transaction Date],"&gt;="&amp;A15,tblCashFlows[Transaction Date],"&lt;"&amp;EDATE(A15,1))</f>
        <v/>
      </c>
      <c r="M15" s="21">
        <f>L15-K15</f>
        <v/>
      </c>
      <c r="N15" s="21">
        <f>SUM(B15,E15,H15,K15)</f>
        <v/>
      </c>
      <c r="O15" s="21">
        <f>SUM(C15,F15,I15,L15)</f>
        <v/>
      </c>
      <c r="P15" s="21">
        <f>O15-N15</f>
        <v/>
      </c>
    </row>
    <row r="16">
      <c r="A16" s="26" t="n">
        <v>43556</v>
      </c>
      <c r="B16" s="21">
        <f>SUMIFS(tblCashFlows[Contribution Amount],tblCashFlows[Entity],"Beaman Ventures",tblCashFlows[Transaction Date],"&gt;="&amp;A16,tblCashFlows[Transaction Date],"&lt;"&amp;EDATE(A16,1))</f>
        <v/>
      </c>
      <c r="C16" s="21">
        <f>SUMIFS(tblCashFlows[Distribution Amount],tblCashFlows[Entity],"Beaman Ventures",tblCashFlows[Transaction Date],"&gt;="&amp;A16,tblCashFlows[Transaction Date],"&lt;"&amp;EDATE(A16,1))</f>
        <v/>
      </c>
      <c r="D16" s="21">
        <f>C16-B16</f>
        <v/>
      </c>
      <c r="E16" s="21">
        <f>SUMIFS(tblCashFlows[Contribution Amount],tblCashFlows[Entity],"Lee Beaman",tblCashFlows[Transaction Date],"&gt;="&amp;A16,tblCashFlows[Transaction Date],"&lt;"&amp;EDATE(A16,1))</f>
        <v/>
      </c>
      <c r="F16" s="21">
        <f>SUMIFS(tblCashFlows[Distribution Amount],tblCashFlows[Entity],"Lee Beaman",tblCashFlows[Transaction Date],"&gt;="&amp;A16,tblCashFlows[Transaction Date],"&lt;"&amp;EDATE(A16,1))</f>
        <v/>
      </c>
      <c r="G16" s="21">
        <f>F16-E16</f>
        <v/>
      </c>
      <c r="H16" s="21">
        <f>SUMIFS(tblCashFlows[Contribution Amount],tblCashFlows[Entity],"Kat Trust",tblCashFlows[Transaction Date],"&gt;="&amp;A16,tblCashFlows[Transaction Date],"&lt;"&amp;EDATE(A16,1))</f>
        <v/>
      </c>
      <c r="I16" s="21">
        <f>SUMIFS(tblCashFlows[Distribution Amount],tblCashFlows[Entity],"Kat Trust",tblCashFlows[Transaction Date],"&gt;="&amp;A16,tblCashFlows[Transaction Date],"&lt;"&amp;EDATE(A16,1))</f>
        <v/>
      </c>
      <c r="J16" s="21">
        <f>I16-H16</f>
        <v/>
      </c>
      <c r="K16" s="21">
        <f>SUMIFS(tblCashFlows[Contribution Amount],tblCashFlows[Entity],"Nat Trust",tblCashFlows[Transaction Date],"&gt;="&amp;A16,tblCashFlows[Transaction Date],"&lt;"&amp;EDATE(A16,1))</f>
        <v/>
      </c>
      <c r="L16" s="21">
        <f>SUMIFS(tblCashFlows[Distribution Amount],tblCashFlows[Entity],"Nat Trust",tblCashFlows[Transaction Date],"&gt;="&amp;A16,tblCashFlows[Transaction Date],"&lt;"&amp;EDATE(A16,1))</f>
        <v/>
      </c>
      <c r="M16" s="21">
        <f>L16-K16</f>
        <v/>
      </c>
      <c r="N16" s="21">
        <f>SUM(B16,E16,H16,K16)</f>
        <v/>
      </c>
      <c r="O16" s="21">
        <f>SUM(C16,F16,I16,L16)</f>
        <v/>
      </c>
      <c r="P16" s="21">
        <f>O16-N16</f>
        <v/>
      </c>
    </row>
    <row r="17">
      <c r="A17" s="26" t="n">
        <v>43586</v>
      </c>
      <c r="B17" s="21">
        <f>SUMIFS(tblCashFlows[Contribution Amount],tblCashFlows[Entity],"Beaman Ventures",tblCashFlows[Transaction Date],"&gt;="&amp;A17,tblCashFlows[Transaction Date],"&lt;"&amp;EDATE(A17,1))</f>
        <v/>
      </c>
      <c r="C17" s="21">
        <f>SUMIFS(tblCashFlows[Distribution Amount],tblCashFlows[Entity],"Beaman Ventures",tblCashFlows[Transaction Date],"&gt;="&amp;A17,tblCashFlows[Transaction Date],"&lt;"&amp;EDATE(A17,1))</f>
        <v/>
      </c>
      <c r="D17" s="21">
        <f>C17-B17</f>
        <v/>
      </c>
      <c r="E17" s="21">
        <f>SUMIFS(tblCashFlows[Contribution Amount],tblCashFlows[Entity],"Lee Beaman",tblCashFlows[Transaction Date],"&gt;="&amp;A17,tblCashFlows[Transaction Date],"&lt;"&amp;EDATE(A17,1))</f>
        <v/>
      </c>
      <c r="F17" s="21">
        <f>SUMIFS(tblCashFlows[Distribution Amount],tblCashFlows[Entity],"Lee Beaman",tblCashFlows[Transaction Date],"&gt;="&amp;A17,tblCashFlows[Transaction Date],"&lt;"&amp;EDATE(A17,1))</f>
        <v/>
      </c>
      <c r="G17" s="21">
        <f>F17-E17</f>
        <v/>
      </c>
      <c r="H17" s="21">
        <f>SUMIFS(tblCashFlows[Contribution Amount],tblCashFlows[Entity],"Kat Trust",tblCashFlows[Transaction Date],"&gt;="&amp;A17,tblCashFlows[Transaction Date],"&lt;"&amp;EDATE(A17,1))</f>
        <v/>
      </c>
      <c r="I17" s="21">
        <f>SUMIFS(tblCashFlows[Distribution Amount],tblCashFlows[Entity],"Kat Trust",tblCashFlows[Transaction Date],"&gt;="&amp;A17,tblCashFlows[Transaction Date],"&lt;"&amp;EDATE(A17,1))</f>
        <v/>
      </c>
      <c r="J17" s="21">
        <f>I17-H17</f>
        <v/>
      </c>
      <c r="K17" s="21">
        <f>SUMIFS(tblCashFlows[Contribution Amount],tblCashFlows[Entity],"Nat Trust",tblCashFlows[Transaction Date],"&gt;="&amp;A17,tblCashFlows[Transaction Date],"&lt;"&amp;EDATE(A17,1))</f>
        <v/>
      </c>
      <c r="L17" s="21">
        <f>SUMIFS(tblCashFlows[Distribution Amount],tblCashFlows[Entity],"Nat Trust",tblCashFlows[Transaction Date],"&gt;="&amp;A17,tblCashFlows[Transaction Date],"&lt;"&amp;EDATE(A17,1))</f>
        <v/>
      </c>
      <c r="M17" s="21">
        <f>L17-K17</f>
        <v/>
      </c>
      <c r="N17" s="21">
        <f>SUM(B17,E17,H17,K17)</f>
        <v/>
      </c>
      <c r="O17" s="21">
        <f>SUM(C17,F17,I17,L17)</f>
        <v/>
      </c>
      <c r="P17" s="21">
        <f>O17-N17</f>
        <v/>
      </c>
    </row>
    <row r="18">
      <c r="A18" s="26" t="n">
        <v>43617</v>
      </c>
      <c r="B18" s="21">
        <f>SUMIFS(tblCashFlows[Contribution Amount],tblCashFlows[Entity],"Beaman Ventures",tblCashFlows[Transaction Date],"&gt;="&amp;A18,tblCashFlows[Transaction Date],"&lt;"&amp;EDATE(A18,1))</f>
        <v/>
      </c>
      <c r="C18" s="21">
        <f>SUMIFS(tblCashFlows[Distribution Amount],tblCashFlows[Entity],"Beaman Ventures",tblCashFlows[Transaction Date],"&gt;="&amp;A18,tblCashFlows[Transaction Date],"&lt;"&amp;EDATE(A18,1))</f>
        <v/>
      </c>
      <c r="D18" s="21">
        <f>C18-B18</f>
        <v/>
      </c>
      <c r="E18" s="21">
        <f>SUMIFS(tblCashFlows[Contribution Amount],tblCashFlows[Entity],"Lee Beaman",tblCashFlows[Transaction Date],"&gt;="&amp;A18,tblCashFlows[Transaction Date],"&lt;"&amp;EDATE(A18,1))</f>
        <v/>
      </c>
      <c r="F18" s="21">
        <f>SUMIFS(tblCashFlows[Distribution Amount],tblCashFlows[Entity],"Lee Beaman",tblCashFlows[Transaction Date],"&gt;="&amp;A18,tblCashFlows[Transaction Date],"&lt;"&amp;EDATE(A18,1))</f>
        <v/>
      </c>
      <c r="G18" s="21">
        <f>F18-E18</f>
        <v/>
      </c>
      <c r="H18" s="21">
        <f>SUMIFS(tblCashFlows[Contribution Amount],tblCashFlows[Entity],"Kat Trust",tblCashFlows[Transaction Date],"&gt;="&amp;A18,tblCashFlows[Transaction Date],"&lt;"&amp;EDATE(A18,1))</f>
        <v/>
      </c>
      <c r="I18" s="21">
        <f>SUMIFS(tblCashFlows[Distribution Amount],tblCashFlows[Entity],"Kat Trust",tblCashFlows[Transaction Date],"&gt;="&amp;A18,tblCashFlows[Transaction Date],"&lt;"&amp;EDATE(A18,1))</f>
        <v/>
      </c>
      <c r="J18" s="21">
        <f>I18-H18</f>
        <v/>
      </c>
      <c r="K18" s="21">
        <f>SUMIFS(tblCashFlows[Contribution Amount],tblCashFlows[Entity],"Nat Trust",tblCashFlows[Transaction Date],"&gt;="&amp;A18,tblCashFlows[Transaction Date],"&lt;"&amp;EDATE(A18,1))</f>
        <v/>
      </c>
      <c r="L18" s="21">
        <f>SUMIFS(tblCashFlows[Distribution Amount],tblCashFlows[Entity],"Nat Trust",tblCashFlows[Transaction Date],"&gt;="&amp;A18,tblCashFlows[Transaction Date],"&lt;"&amp;EDATE(A18,1))</f>
        <v/>
      </c>
      <c r="M18" s="21">
        <f>L18-K18</f>
        <v/>
      </c>
      <c r="N18" s="21">
        <f>SUM(B18,E18,H18,K18)</f>
        <v/>
      </c>
      <c r="O18" s="21">
        <f>SUM(C18,F18,I18,L18)</f>
        <v/>
      </c>
      <c r="P18" s="21">
        <f>O18-N18</f>
        <v/>
      </c>
    </row>
    <row r="19">
      <c r="A19" s="26" t="n">
        <v>43647</v>
      </c>
      <c r="B19" s="21">
        <f>SUMIFS(tblCashFlows[Contribution Amount],tblCashFlows[Entity],"Beaman Ventures",tblCashFlows[Transaction Date],"&gt;="&amp;A19,tblCashFlows[Transaction Date],"&lt;"&amp;EDATE(A19,1))</f>
        <v/>
      </c>
      <c r="C19" s="21">
        <f>SUMIFS(tblCashFlows[Distribution Amount],tblCashFlows[Entity],"Beaman Ventures",tblCashFlows[Transaction Date],"&gt;="&amp;A19,tblCashFlows[Transaction Date],"&lt;"&amp;EDATE(A19,1))</f>
        <v/>
      </c>
      <c r="D19" s="21">
        <f>C19-B19</f>
        <v/>
      </c>
      <c r="E19" s="21">
        <f>SUMIFS(tblCashFlows[Contribution Amount],tblCashFlows[Entity],"Lee Beaman",tblCashFlows[Transaction Date],"&gt;="&amp;A19,tblCashFlows[Transaction Date],"&lt;"&amp;EDATE(A19,1))</f>
        <v/>
      </c>
      <c r="F19" s="21">
        <f>SUMIFS(tblCashFlows[Distribution Amount],tblCashFlows[Entity],"Lee Beaman",tblCashFlows[Transaction Date],"&gt;="&amp;A19,tblCashFlows[Transaction Date],"&lt;"&amp;EDATE(A19,1))</f>
        <v/>
      </c>
      <c r="G19" s="21">
        <f>F19-E19</f>
        <v/>
      </c>
      <c r="H19" s="21">
        <f>SUMIFS(tblCashFlows[Contribution Amount],tblCashFlows[Entity],"Kat Trust",tblCashFlows[Transaction Date],"&gt;="&amp;A19,tblCashFlows[Transaction Date],"&lt;"&amp;EDATE(A19,1))</f>
        <v/>
      </c>
      <c r="I19" s="21">
        <f>SUMIFS(tblCashFlows[Distribution Amount],tblCashFlows[Entity],"Kat Trust",tblCashFlows[Transaction Date],"&gt;="&amp;A19,tblCashFlows[Transaction Date],"&lt;"&amp;EDATE(A19,1))</f>
        <v/>
      </c>
      <c r="J19" s="21">
        <f>I19-H19</f>
        <v/>
      </c>
      <c r="K19" s="21">
        <f>SUMIFS(tblCashFlows[Contribution Amount],tblCashFlows[Entity],"Nat Trust",tblCashFlows[Transaction Date],"&gt;="&amp;A19,tblCashFlows[Transaction Date],"&lt;"&amp;EDATE(A19,1))</f>
        <v/>
      </c>
      <c r="L19" s="21">
        <f>SUMIFS(tblCashFlows[Distribution Amount],tblCashFlows[Entity],"Nat Trust",tblCashFlows[Transaction Date],"&gt;="&amp;A19,tblCashFlows[Transaction Date],"&lt;"&amp;EDATE(A19,1))</f>
        <v/>
      </c>
      <c r="M19" s="21">
        <f>L19-K19</f>
        <v/>
      </c>
      <c r="N19" s="21">
        <f>SUM(B19,E19,H19,K19)</f>
        <v/>
      </c>
      <c r="O19" s="21">
        <f>SUM(C19,F19,I19,L19)</f>
        <v/>
      </c>
      <c r="P19" s="21">
        <f>O19-N19</f>
        <v/>
      </c>
    </row>
    <row r="20">
      <c r="A20" s="26" t="n">
        <v>43678</v>
      </c>
      <c r="B20" s="21">
        <f>SUMIFS(tblCashFlows[Contribution Amount],tblCashFlows[Entity],"Beaman Ventures",tblCashFlows[Transaction Date],"&gt;="&amp;A20,tblCashFlows[Transaction Date],"&lt;"&amp;EDATE(A20,1))</f>
        <v/>
      </c>
      <c r="C20" s="21">
        <f>SUMIFS(tblCashFlows[Distribution Amount],tblCashFlows[Entity],"Beaman Ventures",tblCashFlows[Transaction Date],"&gt;="&amp;A20,tblCashFlows[Transaction Date],"&lt;"&amp;EDATE(A20,1))</f>
        <v/>
      </c>
      <c r="D20" s="21">
        <f>C20-B20</f>
        <v/>
      </c>
      <c r="E20" s="21">
        <f>SUMIFS(tblCashFlows[Contribution Amount],tblCashFlows[Entity],"Lee Beaman",tblCashFlows[Transaction Date],"&gt;="&amp;A20,tblCashFlows[Transaction Date],"&lt;"&amp;EDATE(A20,1))</f>
        <v/>
      </c>
      <c r="F20" s="21">
        <f>SUMIFS(tblCashFlows[Distribution Amount],tblCashFlows[Entity],"Lee Beaman",tblCashFlows[Transaction Date],"&gt;="&amp;A20,tblCashFlows[Transaction Date],"&lt;"&amp;EDATE(A20,1))</f>
        <v/>
      </c>
      <c r="G20" s="21">
        <f>F20-E20</f>
        <v/>
      </c>
      <c r="H20" s="21">
        <f>SUMIFS(tblCashFlows[Contribution Amount],tblCashFlows[Entity],"Kat Trust",tblCashFlows[Transaction Date],"&gt;="&amp;A20,tblCashFlows[Transaction Date],"&lt;"&amp;EDATE(A20,1))</f>
        <v/>
      </c>
      <c r="I20" s="21">
        <f>SUMIFS(tblCashFlows[Distribution Amount],tblCashFlows[Entity],"Kat Trust",tblCashFlows[Transaction Date],"&gt;="&amp;A20,tblCashFlows[Transaction Date],"&lt;"&amp;EDATE(A20,1))</f>
        <v/>
      </c>
      <c r="J20" s="21">
        <f>I20-H20</f>
        <v/>
      </c>
      <c r="K20" s="21">
        <f>SUMIFS(tblCashFlows[Contribution Amount],tblCashFlows[Entity],"Nat Trust",tblCashFlows[Transaction Date],"&gt;="&amp;A20,tblCashFlows[Transaction Date],"&lt;"&amp;EDATE(A20,1))</f>
        <v/>
      </c>
      <c r="L20" s="21">
        <f>SUMIFS(tblCashFlows[Distribution Amount],tblCashFlows[Entity],"Nat Trust",tblCashFlows[Transaction Date],"&gt;="&amp;A20,tblCashFlows[Transaction Date],"&lt;"&amp;EDATE(A20,1))</f>
        <v/>
      </c>
      <c r="M20" s="21">
        <f>L20-K20</f>
        <v/>
      </c>
      <c r="N20" s="21">
        <f>SUM(B20,E20,H20,K20)</f>
        <v/>
      </c>
      <c r="O20" s="21">
        <f>SUM(C20,F20,I20,L20)</f>
        <v/>
      </c>
      <c r="P20" s="21">
        <f>O20-N20</f>
        <v/>
      </c>
    </row>
    <row r="21">
      <c r="A21" s="26" t="n">
        <v>43709</v>
      </c>
      <c r="B21" s="21">
        <f>SUMIFS(tblCashFlows[Contribution Amount],tblCashFlows[Entity],"Beaman Ventures",tblCashFlows[Transaction Date],"&gt;="&amp;A21,tblCashFlows[Transaction Date],"&lt;"&amp;EDATE(A21,1))</f>
        <v/>
      </c>
      <c r="C21" s="21">
        <f>SUMIFS(tblCashFlows[Distribution Amount],tblCashFlows[Entity],"Beaman Ventures",tblCashFlows[Transaction Date],"&gt;="&amp;A21,tblCashFlows[Transaction Date],"&lt;"&amp;EDATE(A21,1))</f>
        <v/>
      </c>
      <c r="D21" s="21">
        <f>C21-B21</f>
        <v/>
      </c>
      <c r="E21" s="21">
        <f>SUMIFS(tblCashFlows[Contribution Amount],tblCashFlows[Entity],"Lee Beaman",tblCashFlows[Transaction Date],"&gt;="&amp;A21,tblCashFlows[Transaction Date],"&lt;"&amp;EDATE(A21,1))</f>
        <v/>
      </c>
      <c r="F21" s="21">
        <f>SUMIFS(tblCashFlows[Distribution Amount],tblCashFlows[Entity],"Lee Beaman",tblCashFlows[Transaction Date],"&gt;="&amp;A21,tblCashFlows[Transaction Date],"&lt;"&amp;EDATE(A21,1))</f>
        <v/>
      </c>
      <c r="G21" s="21">
        <f>F21-E21</f>
        <v/>
      </c>
      <c r="H21" s="21">
        <f>SUMIFS(tblCashFlows[Contribution Amount],tblCashFlows[Entity],"Kat Trust",tblCashFlows[Transaction Date],"&gt;="&amp;A21,tblCashFlows[Transaction Date],"&lt;"&amp;EDATE(A21,1))</f>
        <v/>
      </c>
      <c r="I21" s="21">
        <f>SUMIFS(tblCashFlows[Distribution Amount],tblCashFlows[Entity],"Kat Trust",tblCashFlows[Transaction Date],"&gt;="&amp;A21,tblCashFlows[Transaction Date],"&lt;"&amp;EDATE(A21,1))</f>
        <v/>
      </c>
      <c r="J21" s="21">
        <f>I21-H21</f>
        <v/>
      </c>
      <c r="K21" s="21">
        <f>SUMIFS(tblCashFlows[Contribution Amount],tblCashFlows[Entity],"Nat Trust",tblCashFlows[Transaction Date],"&gt;="&amp;A21,tblCashFlows[Transaction Date],"&lt;"&amp;EDATE(A21,1))</f>
        <v/>
      </c>
      <c r="L21" s="21">
        <f>SUMIFS(tblCashFlows[Distribution Amount],tblCashFlows[Entity],"Nat Trust",tblCashFlows[Transaction Date],"&gt;="&amp;A21,tblCashFlows[Transaction Date],"&lt;"&amp;EDATE(A21,1))</f>
        <v/>
      </c>
      <c r="M21" s="21">
        <f>L21-K21</f>
        <v/>
      </c>
      <c r="N21" s="21">
        <f>SUM(B21,E21,H21,K21)</f>
        <v/>
      </c>
      <c r="O21" s="21">
        <f>SUM(C21,F21,I21,L21)</f>
        <v/>
      </c>
      <c r="P21" s="21">
        <f>O21-N21</f>
        <v/>
      </c>
    </row>
    <row r="22">
      <c r="A22" s="26" t="n">
        <v>43739</v>
      </c>
      <c r="B22" s="21">
        <f>SUMIFS(tblCashFlows[Contribution Amount],tblCashFlows[Entity],"Beaman Ventures",tblCashFlows[Transaction Date],"&gt;="&amp;A22,tblCashFlows[Transaction Date],"&lt;"&amp;EDATE(A22,1))</f>
        <v/>
      </c>
      <c r="C22" s="21">
        <f>SUMIFS(tblCashFlows[Distribution Amount],tblCashFlows[Entity],"Beaman Ventures",tblCashFlows[Transaction Date],"&gt;="&amp;A22,tblCashFlows[Transaction Date],"&lt;"&amp;EDATE(A22,1))</f>
        <v/>
      </c>
      <c r="D22" s="21">
        <f>C22-B22</f>
        <v/>
      </c>
      <c r="E22" s="21">
        <f>SUMIFS(tblCashFlows[Contribution Amount],tblCashFlows[Entity],"Lee Beaman",tblCashFlows[Transaction Date],"&gt;="&amp;A22,tblCashFlows[Transaction Date],"&lt;"&amp;EDATE(A22,1))</f>
        <v/>
      </c>
      <c r="F22" s="21">
        <f>SUMIFS(tblCashFlows[Distribution Amount],tblCashFlows[Entity],"Lee Beaman",tblCashFlows[Transaction Date],"&gt;="&amp;A22,tblCashFlows[Transaction Date],"&lt;"&amp;EDATE(A22,1))</f>
        <v/>
      </c>
      <c r="G22" s="21">
        <f>F22-E22</f>
        <v/>
      </c>
      <c r="H22" s="21">
        <f>SUMIFS(tblCashFlows[Contribution Amount],tblCashFlows[Entity],"Kat Trust",tblCashFlows[Transaction Date],"&gt;="&amp;A22,tblCashFlows[Transaction Date],"&lt;"&amp;EDATE(A22,1))</f>
        <v/>
      </c>
      <c r="I22" s="21">
        <f>SUMIFS(tblCashFlows[Distribution Amount],tblCashFlows[Entity],"Kat Trust",tblCashFlows[Transaction Date],"&gt;="&amp;A22,tblCashFlows[Transaction Date],"&lt;"&amp;EDATE(A22,1))</f>
        <v/>
      </c>
      <c r="J22" s="21">
        <f>I22-H22</f>
        <v/>
      </c>
      <c r="K22" s="21">
        <f>SUMIFS(tblCashFlows[Contribution Amount],tblCashFlows[Entity],"Nat Trust",tblCashFlows[Transaction Date],"&gt;="&amp;A22,tblCashFlows[Transaction Date],"&lt;"&amp;EDATE(A22,1))</f>
        <v/>
      </c>
      <c r="L22" s="21">
        <f>SUMIFS(tblCashFlows[Distribution Amount],tblCashFlows[Entity],"Nat Trust",tblCashFlows[Transaction Date],"&gt;="&amp;A22,tblCashFlows[Transaction Date],"&lt;"&amp;EDATE(A22,1))</f>
        <v/>
      </c>
      <c r="M22" s="21">
        <f>L22-K22</f>
        <v/>
      </c>
      <c r="N22" s="21">
        <f>SUM(B22,E22,H22,K22)</f>
        <v/>
      </c>
      <c r="O22" s="21">
        <f>SUM(C22,F22,I22,L22)</f>
        <v/>
      </c>
      <c r="P22" s="21">
        <f>O22-N22</f>
        <v/>
      </c>
    </row>
    <row r="23">
      <c r="A23" s="26" t="n">
        <v>43770</v>
      </c>
      <c r="B23" s="21">
        <f>SUMIFS(tblCashFlows[Contribution Amount],tblCashFlows[Entity],"Beaman Ventures",tblCashFlows[Transaction Date],"&gt;="&amp;A23,tblCashFlows[Transaction Date],"&lt;"&amp;EDATE(A23,1))</f>
        <v/>
      </c>
      <c r="C23" s="21">
        <f>SUMIFS(tblCashFlows[Distribution Amount],tblCashFlows[Entity],"Beaman Ventures",tblCashFlows[Transaction Date],"&gt;="&amp;A23,tblCashFlows[Transaction Date],"&lt;"&amp;EDATE(A23,1))</f>
        <v/>
      </c>
      <c r="D23" s="21">
        <f>C23-B23</f>
        <v/>
      </c>
      <c r="E23" s="21">
        <f>SUMIFS(tblCashFlows[Contribution Amount],tblCashFlows[Entity],"Lee Beaman",tblCashFlows[Transaction Date],"&gt;="&amp;A23,tblCashFlows[Transaction Date],"&lt;"&amp;EDATE(A23,1))</f>
        <v/>
      </c>
      <c r="F23" s="21">
        <f>SUMIFS(tblCashFlows[Distribution Amount],tblCashFlows[Entity],"Lee Beaman",tblCashFlows[Transaction Date],"&gt;="&amp;A23,tblCashFlows[Transaction Date],"&lt;"&amp;EDATE(A23,1))</f>
        <v/>
      </c>
      <c r="G23" s="21">
        <f>F23-E23</f>
        <v/>
      </c>
      <c r="H23" s="21">
        <f>SUMIFS(tblCashFlows[Contribution Amount],tblCashFlows[Entity],"Kat Trust",tblCashFlows[Transaction Date],"&gt;="&amp;A23,tblCashFlows[Transaction Date],"&lt;"&amp;EDATE(A23,1))</f>
        <v/>
      </c>
      <c r="I23" s="21">
        <f>SUMIFS(tblCashFlows[Distribution Amount],tblCashFlows[Entity],"Kat Trust",tblCashFlows[Transaction Date],"&gt;="&amp;A23,tblCashFlows[Transaction Date],"&lt;"&amp;EDATE(A23,1))</f>
        <v/>
      </c>
      <c r="J23" s="21">
        <f>I23-H23</f>
        <v/>
      </c>
      <c r="K23" s="21">
        <f>SUMIFS(tblCashFlows[Contribution Amount],tblCashFlows[Entity],"Nat Trust",tblCashFlows[Transaction Date],"&gt;="&amp;A23,tblCashFlows[Transaction Date],"&lt;"&amp;EDATE(A23,1))</f>
        <v/>
      </c>
      <c r="L23" s="21">
        <f>SUMIFS(tblCashFlows[Distribution Amount],tblCashFlows[Entity],"Nat Trust",tblCashFlows[Transaction Date],"&gt;="&amp;A23,tblCashFlows[Transaction Date],"&lt;"&amp;EDATE(A23,1))</f>
        <v/>
      </c>
      <c r="M23" s="21">
        <f>L23-K23</f>
        <v/>
      </c>
      <c r="N23" s="21">
        <f>SUM(B23,E23,H23,K23)</f>
        <v/>
      </c>
      <c r="O23" s="21">
        <f>SUM(C23,F23,I23,L23)</f>
        <v/>
      </c>
      <c r="P23" s="21">
        <f>O23-N23</f>
        <v/>
      </c>
    </row>
    <row r="24">
      <c r="A24" s="26" t="n">
        <v>43800</v>
      </c>
      <c r="B24" s="21">
        <f>SUMIFS(tblCashFlows[Contribution Amount],tblCashFlows[Entity],"Beaman Ventures",tblCashFlows[Transaction Date],"&gt;="&amp;A24,tblCashFlows[Transaction Date],"&lt;"&amp;EDATE(A24,1))</f>
        <v/>
      </c>
      <c r="C24" s="21">
        <f>SUMIFS(tblCashFlows[Distribution Amount],tblCashFlows[Entity],"Beaman Ventures",tblCashFlows[Transaction Date],"&gt;="&amp;A24,tblCashFlows[Transaction Date],"&lt;"&amp;EDATE(A24,1))</f>
        <v/>
      </c>
      <c r="D24" s="21">
        <f>C24-B24</f>
        <v/>
      </c>
      <c r="E24" s="21">
        <f>SUMIFS(tblCashFlows[Contribution Amount],tblCashFlows[Entity],"Lee Beaman",tblCashFlows[Transaction Date],"&gt;="&amp;A24,tblCashFlows[Transaction Date],"&lt;"&amp;EDATE(A24,1))</f>
        <v/>
      </c>
      <c r="F24" s="21">
        <f>SUMIFS(tblCashFlows[Distribution Amount],tblCashFlows[Entity],"Lee Beaman",tblCashFlows[Transaction Date],"&gt;="&amp;A24,tblCashFlows[Transaction Date],"&lt;"&amp;EDATE(A24,1))</f>
        <v/>
      </c>
      <c r="G24" s="21">
        <f>F24-E24</f>
        <v/>
      </c>
      <c r="H24" s="21">
        <f>SUMIFS(tblCashFlows[Contribution Amount],tblCashFlows[Entity],"Kat Trust",tblCashFlows[Transaction Date],"&gt;="&amp;A24,tblCashFlows[Transaction Date],"&lt;"&amp;EDATE(A24,1))</f>
        <v/>
      </c>
      <c r="I24" s="21">
        <f>SUMIFS(tblCashFlows[Distribution Amount],tblCashFlows[Entity],"Kat Trust",tblCashFlows[Transaction Date],"&gt;="&amp;A24,tblCashFlows[Transaction Date],"&lt;"&amp;EDATE(A24,1))</f>
        <v/>
      </c>
      <c r="J24" s="21">
        <f>I24-H24</f>
        <v/>
      </c>
      <c r="K24" s="21">
        <f>SUMIFS(tblCashFlows[Contribution Amount],tblCashFlows[Entity],"Nat Trust",tblCashFlows[Transaction Date],"&gt;="&amp;A24,tblCashFlows[Transaction Date],"&lt;"&amp;EDATE(A24,1))</f>
        <v/>
      </c>
      <c r="L24" s="21">
        <f>SUMIFS(tblCashFlows[Distribution Amount],tblCashFlows[Entity],"Nat Trust",tblCashFlows[Transaction Date],"&gt;="&amp;A24,tblCashFlows[Transaction Date],"&lt;"&amp;EDATE(A24,1))</f>
        <v/>
      </c>
      <c r="M24" s="21">
        <f>L24-K24</f>
        <v/>
      </c>
      <c r="N24" s="21">
        <f>SUM(B24,E24,H24,K24)</f>
        <v/>
      </c>
      <c r="O24" s="21">
        <f>SUM(C24,F24,I24,L24)</f>
        <v/>
      </c>
      <c r="P24" s="21">
        <f>O24-N24</f>
        <v/>
      </c>
    </row>
    <row r="25">
      <c r="A25" s="26" t="n">
        <v>43831</v>
      </c>
      <c r="B25" s="21">
        <f>SUMIFS(tblCashFlows[Contribution Amount],tblCashFlows[Entity],"Beaman Ventures",tblCashFlows[Transaction Date],"&gt;="&amp;A25,tblCashFlows[Transaction Date],"&lt;"&amp;EDATE(A25,1))</f>
        <v/>
      </c>
      <c r="C25" s="21">
        <f>SUMIFS(tblCashFlows[Distribution Amount],tblCashFlows[Entity],"Beaman Ventures",tblCashFlows[Transaction Date],"&gt;="&amp;A25,tblCashFlows[Transaction Date],"&lt;"&amp;EDATE(A25,1))</f>
        <v/>
      </c>
      <c r="D25" s="21">
        <f>C25-B25</f>
        <v/>
      </c>
      <c r="E25" s="21">
        <f>SUMIFS(tblCashFlows[Contribution Amount],tblCashFlows[Entity],"Lee Beaman",tblCashFlows[Transaction Date],"&gt;="&amp;A25,tblCashFlows[Transaction Date],"&lt;"&amp;EDATE(A25,1))</f>
        <v/>
      </c>
      <c r="F25" s="21">
        <f>SUMIFS(tblCashFlows[Distribution Amount],tblCashFlows[Entity],"Lee Beaman",tblCashFlows[Transaction Date],"&gt;="&amp;A25,tblCashFlows[Transaction Date],"&lt;"&amp;EDATE(A25,1))</f>
        <v/>
      </c>
      <c r="G25" s="21">
        <f>F25-E25</f>
        <v/>
      </c>
      <c r="H25" s="21">
        <f>SUMIFS(tblCashFlows[Contribution Amount],tblCashFlows[Entity],"Kat Trust",tblCashFlows[Transaction Date],"&gt;="&amp;A25,tblCashFlows[Transaction Date],"&lt;"&amp;EDATE(A25,1))</f>
        <v/>
      </c>
      <c r="I25" s="21">
        <f>SUMIFS(tblCashFlows[Distribution Amount],tblCashFlows[Entity],"Kat Trust",tblCashFlows[Transaction Date],"&gt;="&amp;A25,tblCashFlows[Transaction Date],"&lt;"&amp;EDATE(A25,1))</f>
        <v/>
      </c>
      <c r="J25" s="21">
        <f>I25-H25</f>
        <v/>
      </c>
      <c r="K25" s="21">
        <f>SUMIFS(tblCashFlows[Contribution Amount],tblCashFlows[Entity],"Nat Trust",tblCashFlows[Transaction Date],"&gt;="&amp;A25,tblCashFlows[Transaction Date],"&lt;"&amp;EDATE(A25,1))</f>
        <v/>
      </c>
      <c r="L25" s="21">
        <f>SUMIFS(tblCashFlows[Distribution Amount],tblCashFlows[Entity],"Nat Trust",tblCashFlows[Transaction Date],"&gt;="&amp;A25,tblCashFlows[Transaction Date],"&lt;"&amp;EDATE(A25,1))</f>
        <v/>
      </c>
      <c r="M25" s="21">
        <f>L25-K25</f>
        <v/>
      </c>
      <c r="N25" s="21">
        <f>SUM(B25,E25,H25,K25)</f>
        <v/>
      </c>
      <c r="O25" s="21">
        <f>SUM(C25,F25,I25,L25)</f>
        <v/>
      </c>
      <c r="P25" s="21">
        <f>O25-N25</f>
        <v/>
      </c>
    </row>
    <row r="26">
      <c r="A26" s="26" t="n">
        <v>43862</v>
      </c>
      <c r="B26" s="21">
        <f>SUMIFS(tblCashFlows[Contribution Amount],tblCashFlows[Entity],"Beaman Ventures",tblCashFlows[Transaction Date],"&gt;="&amp;A26,tblCashFlows[Transaction Date],"&lt;"&amp;EDATE(A26,1))</f>
        <v/>
      </c>
      <c r="C26" s="21">
        <f>SUMIFS(tblCashFlows[Distribution Amount],tblCashFlows[Entity],"Beaman Ventures",tblCashFlows[Transaction Date],"&gt;="&amp;A26,tblCashFlows[Transaction Date],"&lt;"&amp;EDATE(A26,1))</f>
        <v/>
      </c>
      <c r="D26" s="21">
        <f>C26-B26</f>
        <v/>
      </c>
      <c r="E26" s="21">
        <f>SUMIFS(tblCashFlows[Contribution Amount],tblCashFlows[Entity],"Lee Beaman",tblCashFlows[Transaction Date],"&gt;="&amp;A26,tblCashFlows[Transaction Date],"&lt;"&amp;EDATE(A26,1))</f>
        <v/>
      </c>
      <c r="F26" s="21">
        <f>SUMIFS(tblCashFlows[Distribution Amount],tblCashFlows[Entity],"Lee Beaman",tblCashFlows[Transaction Date],"&gt;="&amp;A26,tblCashFlows[Transaction Date],"&lt;"&amp;EDATE(A26,1))</f>
        <v/>
      </c>
      <c r="G26" s="21">
        <f>F26-E26</f>
        <v/>
      </c>
      <c r="H26" s="21">
        <f>SUMIFS(tblCashFlows[Contribution Amount],tblCashFlows[Entity],"Kat Trust",tblCashFlows[Transaction Date],"&gt;="&amp;A26,tblCashFlows[Transaction Date],"&lt;"&amp;EDATE(A26,1))</f>
        <v/>
      </c>
      <c r="I26" s="21">
        <f>SUMIFS(tblCashFlows[Distribution Amount],tblCashFlows[Entity],"Kat Trust",tblCashFlows[Transaction Date],"&gt;="&amp;A26,tblCashFlows[Transaction Date],"&lt;"&amp;EDATE(A26,1))</f>
        <v/>
      </c>
      <c r="J26" s="21">
        <f>I26-H26</f>
        <v/>
      </c>
      <c r="K26" s="21">
        <f>SUMIFS(tblCashFlows[Contribution Amount],tblCashFlows[Entity],"Nat Trust",tblCashFlows[Transaction Date],"&gt;="&amp;A26,tblCashFlows[Transaction Date],"&lt;"&amp;EDATE(A26,1))</f>
        <v/>
      </c>
      <c r="L26" s="21">
        <f>SUMIFS(tblCashFlows[Distribution Amount],tblCashFlows[Entity],"Nat Trust",tblCashFlows[Transaction Date],"&gt;="&amp;A26,tblCashFlows[Transaction Date],"&lt;"&amp;EDATE(A26,1))</f>
        <v/>
      </c>
      <c r="M26" s="21">
        <f>L26-K26</f>
        <v/>
      </c>
      <c r="N26" s="21">
        <f>SUM(B26,E26,H26,K26)</f>
        <v/>
      </c>
      <c r="O26" s="21">
        <f>SUM(C26,F26,I26,L26)</f>
        <v/>
      </c>
      <c r="P26" s="21">
        <f>O26-N26</f>
        <v/>
      </c>
    </row>
    <row r="27">
      <c r="A27" s="26" t="n">
        <v>43891</v>
      </c>
      <c r="B27" s="21">
        <f>SUMIFS(tblCashFlows[Contribution Amount],tblCashFlows[Entity],"Beaman Ventures",tblCashFlows[Transaction Date],"&gt;="&amp;A27,tblCashFlows[Transaction Date],"&lt;"&amp;EDATE(A27,1))</f>
        <v/>
      </c>
      <c r="C27" s="21">
        <f>SUMIFS(tblCashFlows[Distribution Amount],tblCashFlows[Entity],"Beaman Ventures",tblCashFlows[Transaction Date],"&gt;="&amp;A27,tblCashFlows[Transaction Date],"&lt;"&amp;EDATE(A27,1))</f>
        <v/>
      </c>
      <c r="D27" s="21">
        <f>C27-B27</f>
        <v/>
      </c>
      <c r="E27" s="21">
        <f>SUMIFS(tblCashFlows[Contribution Amount],tblCashFlows[Entity],"Lee Beaman",tblCashFlows[Transaction Date],"&gt;="&amp;A27,tblCashFlows[Transaction Date],"&lt;"&amp;EDATE(A27,1))</f>
        <v/>
      </c>
      <c r="F27" s="21">
        <f>SUMIFS(tblCashFlows[Distribution Amount],tblCashFlows[Entity],"Lee Beaman",tblCashFlows[Transaction Date],"&gt;="&amp;A27,tblCashFlows[Transaction Date],"&lt;"&amp;EDATE(A27,1))</f>
        <v/>
      </c>
      <c r="G27" s="21">
        <f>F27-E27</f>
        <v/>
      </c>
      <c r="H27" s="21">
        <f>SUMIFS(tblCashFlows[Contribution Amount],tblCashFlows[Entity],"Kat Trust",tblCashFlows[Transaction Date],"&gt;="&amp;A27,tblCashFlows[Transaction Date],"&lt;"&amp;EDATE(A27,1))</f>
        <v/>
      </c>
      <c r="I27" s="21">
        <f>SUMIFS(tblCashFlows[Distribution Amount],tblCashFlows[Entity],"Kat Trust",tblCashFlows[Transaction Date],"&gt;="&amp;A27,tblCashFlows[Transaction Date],"&lt;"&amp;EDATE(A27,1))</f>
        <v/>
      </c>
      <c r="J27" s="21">
        <f>I27-H27</f>
        <v/>
      </c>
      <c r="K27" s="21">
        <f>SUMIFS(tblCashFlows[Contribution Amount],tblCashFlows[Entity],"Nat Trust",tblCashFlows[Transaction Date],"&gt;="&amp;A27,tblCashFlows[Transaction Date],"&lt;"&amp;EDATE(A27,1))</f>
        <v/>
      </c>
      <c r="L27" s="21">
        <f>SUMIFS(tblCashFlows[Distribution Amount],tblCashFlows[Entity],"Nat Trust",tblCashFlows[Transaction Date],"&gt;="&amp;A27,tblCashFlows[Transaction Date],"&lt;"&amp;EDATE(A27,1))</f>
        <v/>
      </c>
      <c r="M27" s="21">
        <f>L27-K27</f>
        <v/>
      </c>
      <c r="N27" s="21">
        <f>SUM(B27,E27,H27,K27)</f>
        <v/>
      </c>
      <c r="O27" s="21">
        <f>SUM(C27,F27,I27,L27)</f>
        <v/>
      </c>
      <c r="P27" s="21">
        <f>O27-N27</f>
        <v/>
      </c>
    </row>
    <row r="28">
      <c r="A28" s="26" t="n">
        <v>43922</v>
      </c>
      <c r="B28" s="21">
        <f>SUMIFS(tblCashFlows[Contribution Amount],tblCashFlows[Entity],"Beaman Ventures",tblCashFlows[Transaction Date],"&gt;="&amp;A28,tblCashFlows[Transaction Date],"&lt;"&amp;EDATE(A28,1))</f>
        <v/>
      </c>
      <c r="C28" s="21">
        <f>SUMIFS(tblCashFlows[Distribution Amount],tblCashFlows[Entity],"Beaman Ventures",tblCashFlows[Transaction Date],"&gt;="&amp;A28,tblCashFlows[Transaction Date],"&lt;"&amp;EDATE(A28,1))</f>
        <v/>
      </c>
      <c r="D28" s="21">
        <f>C28-B28</f>
        <v/>
      </c>
      <c r="E28" s="21">
        <f>SUMIFS(tblCashFlows[Contribution Amount],tblCashFlows[Entity],"Lee Beaman",tblCashFlows[Transaction Date],"&gt;="&amp;A28,tblCashFlows[Transaction Date],"&lt;"&amp;EDATE(A28,1))</f>
        <v/>
      </c>
      <c r="F28" s="21">
        <f>SUMIFS(tblCashFlows[Distribution Amount],tblCashFlows[Entity],"Lee Beaman",tblCashFlows[Transaction Date],"&gt;="&amp;A28,tblCashFlows[Transaction Date],"&lt;"&amp;EDATE(A28,1))</f>
        <v/>
      </c>
      <c r="G28" s="21">
        <f>F28-E28</f>
        <v/>
      </c>
      <c r="H28" s="21">
        <f>SUMIFS(tblCashFlows[Contribution Amount],tblCashFlows[Entity],"Kat Trust",tblCashFlows[Transaction Date],"&gt;="&amp;A28,tblCashFlows[Transaction Date],"&lt;"&amp;EDATE(A28,1))</f>
        <v/>
      </c>
      <c r="I28" s="21">
        <f>SUMIFS(tblCashFlows[Distribution Amount],tblCashFlows[Entity],"Kat Trust",tblCashFlows[Transaction Date],"&gt;="&amp;A28,tblCashFlows[Transaction Date],"&lt;"&amp;EDATE(A28,1))</f>
        <v/>
      </c>
      <c r="J28" s="21">
        <f>I28-H28</f>
        <v/>
      </c>
      <c r="K28" s="21">
        <f>SUMIFS(tblCashFlows[Contribution Amount],tblCashFlows[Entity],"Nat Trust",tblCashFlows[Transaction Date],"&gt;="&amp;A28,tblCashFlows[Transaction Date],"&lt;"&amp;EDATE(A28,1))</f>
        <v/>
      </c>
      <c r="L28" s="21">
        <f>SUMIFS(tblCashFlows[Distribution Amount],tblCashFlows[Entity],"Nat Trust",tblCashFlows[Transaction Date],"&gt;="&amp;A28,tblCashFlows[Transaction Date],"&lt;"&amp;EDATE(A28,1))</f>
        <v/>
      </c>
      <c r="M28" s="21">
        <f>L28-K28</f>
        <v/>
      </c>
      <c r="N28" s="21">
        <f>SUM(B28,E28,H28,K28)</f>
        <v/>
      </c>
      <c r="O28" s="21">
        <f>SUM(C28,F28,I28,L28)</f>
        <v/>
      </c>
      <c r="P28" s="21">
        <f>O28-N28</f>
        <v/>
      </c>
    </row>
    <row r="29">
      <c r="A29" s="26" t="n">
        <v>43952</v>
      </c>
      <c r="B29" s="21">
        <f>SUMIFS(tblCashFlows[Contribution Amount],tblCashFlows[Entity],"Beaman Ventures",tblCashFlows[Transaction Date],"&gt;="&amp;A29,tblCashFlows[Transaction Date],"&lt;"&amp;EDATE(A29,1))</f>
        <v/>
      </c>
      <c r="C29" s="21">
        <f>SUMIFS(tblCashFlows[Distribution Amount],tblCashFlows[Entity],"Beaman Ventures",tblCashFlows[Transaction Date],"&gt;="&amp;A29,tblCashFlows[Transaction Date],"&lt;"&amp;EDATE(A29,1))</f>
        <v/>
      </c>
      <c r="D29" s="21">
        <f>C29-B29</f>
        <v/>
      </c>
      <c r="E29" s="21">
        <f>SUMIFS(tblCashFlows[Contribution Amount],tblCashFlows[Entity],"Lee Beaman",tblCashFlows[Transaction Date],"&gt;="&amp;A29,tblCashFlows[Transaction Date],"&lt;"&amp;EDATE(A29,1))</f>
        <v/>
      </c>
      <c r="F29" s="21">
        <f>SUMIFS(tblCashFlows[Distribution Amount],tblCashFlows[Entity],"Lee Beaman",tblCashFlows[Transaction Date],"&gt;="&amp;A29,tblCashFlows[Transaction Date],"&lt;"&amp;EDATE(A29,1))</f>
        <v/>
      </c>
      <c r="G29" s="21">
        <f>F29-E29</f>
        <v/>
      </c>
      <c r="H29" s="21">
        <f>SUMIFS(tblCashFlows[Contribution Amount],tblCashFlows[Entity],"Kat Trust",tblCashFlows[Transaction Date],"&gt;="&amp;A29,tblCashFlows[Transaction Date],"&lt;"&amp;EDATE(A29,1))</f>
        <v/>
      </c>
      <c r="I29" s="21">
        <f>SUMIFS(tblCashFlows[Distribution Amount],tblCashFlows[Entity],"Kat Trust",tblCashFlows[Transaction Date],"&gt;="&amp;A29,tblCashFlows[Transaction Date],"&lt;"&amp;EDATE(A29,1))</f>
        <v/>
      </c>
      <c r="J29" s="21">
        <f>I29-H29</f>
        <v/>
      </c>
      <c r="K29" s="21">
        <f>SUMIFS(tblCashFlows[Contribution Amount],tblCashFlows[Entity],"Nat Trust",tblCashFlows[Transaction Date],"&gt;="&amp;A29,tblCashFlows[Transaction Date],"&lt;"&amp;EDATE(A29,1))</f>
        <v/>
      </c>
      <c r="L29" s="21">
        <f>SUMIFS(tblCashFlows[Distribution Amount],tblCashFlows[Entity],"Nat Trust",tblCashFlows[Transaction Date],"&gt;="&amp;A29,tblCashFlows[Transaction Date],"&lt;"&amp;EDATE(A29,1))</f>
        <v/>
      </c>
      <c r="M29" s="21">
        <f>L29-K29</f>
        <v/>
      </c>
      <c r="N29" s="21">
        <f>SUM(B29,E29,H29,K29)</f>
        <v/>
      </c>
      <c r="O29" s="21">
        <f>SUM(C29,F29,I29,L29)</f>
        <v/>
      </c>
      <c r="P29" s="21">
        <f>O29-N29</f>
        <v/>
      </c>
    </row>
    <row r="30">
      <c r="A30" s="26" t="n">
        <v>43983</v>
      </c>
      <c r="B30" s="21">
        <f>SUMIFS(tblCashFlows[Contribution Amount],tblCashFlows[Entity],"Beaman Ventures",tblCashFlows[Transaction Date],"&gt;="&amp;A30,tblCashFlows[Transaction Date],"&lt;"&amp;EDATE(A30,1))</f>
        <v/>
      </c>
      <c r="C30" s="21">
        <f>SUMIFS(tblCashFlows[Distribution Amount],tblCashFlows[Entity],"Beaman Ventures",tblCashFlows[Transaction Date],"&gt;="&amp;A30,tblCashFlows[Transaction Date],"&lt;"&amp;EDATE(A30,1))</f>
        <v/>
      </c>
      <c r="D30" s="21">
        <f>C30-B30</f>
        <v/>
      </c>
      <c r="E30" s="21">
        <f>SUMIFS(tblCashFlows[Contribution Amount],tblCashFlows[Entity],"Lee Beaman",tblCashFlows[Transaction Date],"&gt;="&amp;A30,tblCashFlows[Transaction Date],"&lt;"&amp;EDATE(A30,1))</f>
        <v/>
      </c>
      <c r="F30" s="21">
        <f>SUMIFS(tblCashFlows[Distribution Amount],tblCashFlows[Entity],"Lee Beaman",tblCashFlows[Transaction Date],"&gt;="&amp;A30,tblCashFlows[Transaction Date],"&lt;"&amp;EDATE(A30,1))</f>
        <v/>
      </c>
      <c r="G30" s="21">
        <f>F30-E30</f>
        <v/>
      </c>
      <c r="H30" s="21">
        <f>SUMIFS(tblCashFlows[Contribution Amount],tblCashFlows[Entity],"Kat Trust",tblCashFlows[Transaction Date],"&gt;="&amp;A30,tblCashFlows[Transaction Date],"&lt;"&amp;EDATE(A30,1))</f>
        <v/>
      </c>
      <c r="I30" s="21">
        <f>SUMIFS(tblCashFlows[Distribution Amount],tblCashFlows[Entity],"Kat Trust",tblCashFlows[Transaction Date],"&gt;="&amp;A30,tblCashFlows[Transaction Date],"&lt;"&amp;EDATE(A30,1))</f>
        <v/>
      </c>
      <c r="J30" s="21">
        <f>I30-H30</f>
        <v/>
      </c>
      <c r="K30" s="21">
        <f>SUMIFS(tblCashFlows[Contribution Amount],tblCashFlows[Entity],"Nat Trust",tblCashFlows[Transaction Date],"&gt;="&amp;A30,tblCashFlows[Transaction Date],"&lt;"&amp;EDATE(A30,1))</f>
        <v/>
      </c>
      <c r="L30" s="21">
        <f>SUMIFS(tblCashFlows[Distribution Amount],tblCashFlows[Entity],"Nat Trust",tblCashFlows[Transaction Date],"&gt;="&amp;A30,tblCashFlows[Transaction Date],"&lt;"&amp;EDATE(A30,1))</f>
        <v/>
      </c>
      <c r="M30" s="21">
        <f>L30-K30</f>
        <v/>
      </c>
      <c r="N30" s="21">
        <f>SUM(B30,E30,H30,K30)</f>
        <v/>
      </c>
      <c r="O30" s="21">
        <f>SUM(C30,F30,I30,L30)</f>
        <v/>
      </c>
      <c r="P30" s="21">
        <f>O30-N30</f>
        <v/>
      </c>
    </row>
    <row r="31">
      <c r="A31" s="26" t="n">
        <v>44013</v>
      </c>
      <c r="B31" s="21">
        <f>SUMIFS(tblCashFlows[Contribution Amount],tblCashFlows[Entity],"Beaman Ventures",tblCashFlows[Transaction Date],"&gt;="&amp;A31,tblCashFlows[Transaction Date],"&lt;"&amp;EDATE(A31,1))</f>
        <v/>
      </c>
      <c r="C31" s="21">
        <f>SUMIFS(tblCashFlows[Distribution Amount],tblCashFlows[Entity],"Beaman Ventures",tblCashFlows[Transaction Date],"&gt;="&amp;A31,tblCashFlows[Transaction Date],"&lt;"&amp;EDATE(A31,1))</f>
        <v/>
      </c>
      <c r="D31" s="21">
        <f>C31-B31</f>
        <v/>
      </c>
      <c r="E31" s="21">
        <f>SUMIFS(tblCashFlows[Contribution Amount],tblCashFlows[Entity],"Lee Beaman",tblCashFlows[Transaction Date],"&gt;="&amp;A31,tblCashFlows[Transaction Date],"&lt;"&amp;EDATE(A31,1))</f>
        <v/>
      </c>
      <c r="F31" s="21">
        <f>SUMIFS(tblCashFlows[Distribution Amount],tblCashFlows[Entity],"Lee Beaman",tblCashFlows[Transaction Date],"&gt;="&amp;A31,tblCashFlows[Transaction Date],"&lt;"&amp;EDATE(A31,1))</f>
        <v/>
      </c>
      <c r="G31" s="21">
        <f>F31-E31</f>
        <v/>
      </c>
      <c r="H31" s="21">
        <f>SUMIFS(tblCashFlows[Contribution Amount],tblCashFlows[Entity],"Kat Trust",tblCashFlows[Transaction Date],"&gt;="&amp;A31,tblCashFlows[Transaction Date],"&lt;"&amp;EDATE(A31,1))</f>
        <v/>
      </c>
      <c r="I31" s="21">
        <f>SUMIFS(tblCashFlows[Distribution Amount],tblCashFlows[Entity],"Kat Trust",tblCashFlows[Transaction Date],"&gt;="&amp;A31,tblCashFlows[Transaction Date],"&lt;"&amp;EDATE(A31,1))</f>
        <v/>
      </c>
      <c r="J31" s="21">
        <f>I31-H31</f>
        <v/>
      </c>
      <c r="K31" s="21">
        <f>SUMIFS(tblCashFlows[Contribution Amount],tblCashFlows[Entity],"Nat Trust",tblCashFlows[Transaction Date],"&gt;="&amp;A31,tblCashFlows[Transaction Date],"&lt;"&amp;EDATE(A31,1))</f>
        <v/>
      </c>
      <c r="L31" s="21">
        <f>SUMIFS(tblCashFlows[Distribution Amount],tblCashFlows[Entity],"Nat Trust",tblCashFlows[Transaction Date],"&gt;="&amp;A31,tblCashFlows[Transaction Date],"&lt;"&amp;EDATE(A31,1))</f>
        <v/>
      </c>
      <c r="M31" s="21">
        <f>L31-K31</f>
        <v/>
      </c>
      <c r="N31" s="21">
        <f>SUM(B31,E31,H31,K31)</f>
        <v/>
      </c>
      <c r="O31" s="21">
        <f>SUM(C31,F31,I31,L31)</f>
        <v/>
      </c>
      <c r="P31" s="21">
        <f>O31-N31</f>
        <v/>
      </c>
    </row>
    <row r="32">
      <c r="A32" s="26" t="n">
        <v>44044</v>
      </c>
      <c r="B32" s="21">
        <f>SUMIFS(tblCashFlows[Contribution Amount],tblCashFlows[Entity],"Beaman Ventures",tblCashFlows[Transaction Date],"&gt;="&amp;A32,tblCashFlows[Transaction Date],"&lt;"&amp;EDATE(A32,1))</f>
        <v/>
      </c>
      <c r="C32" s="21">
        <f>SUMIFS(tblCashFlows[Distribution Amount],tblCashFlows[Entity],"Beaman Ventures",tblCashFlows[Transaction Date],"&gt;="&amp;A32,tblCashFlows[Transaction Date],"&lt;"&amp;EDATE(A32,1))</f>
        <v/>
      </c>
      <c r="D32" s="21">
        <f>C32-B32</f>
        <v/>
      </c>
      <c r="E32" s="21">
        <f>SUMIFS(tblCashFlows[Contribution Amount],tblCashFlows[Entity],"Lee Beaman",tblCashFlows[Transaction Date],"&gt;="&amp;A32,tblCashFlows[Transaction Date],"&lt;"&amp;EDATE(A32,1))</f>
        <v/>
      </c>
      <c r="F32" s="21">
        <f>SUMIFS(tblCashFlows[Distribution Amount],tblCashFlows[Entity],"Lee Beaman",tblCashFlows[Transaction Date],"&gt;="&amp;A32,tblCashFlows[Transaction Date],"&lt;"&amp;EDATE(A32,1))</f>
        <v/>
      </c>
      <c r="G32" s="21">
        <f>F32-E32</f>
        <v/>
      </c>
      <c r="H32" s="21">
        <f>SUMIFS(tblCashFlows[Contribution Amount],tblCashFlows[Entity],"Kat Trust",tblCashFlows[Transaction Date],"&gt;="&amp;A32,tblCashFlows[Transaction Date],"&lt;"&amp;EDATE(A32,1))</f>
        <v/>
      </c>
      <c r="I32" s="21">
        <f>SUMIFS(tblCashFlows[Distribution Amount],tblCashFlows[Entity],"Kat Trust",tblCashFlows[Transaction Date],"&gt;="&amp;A32,tblCashFlows[Transaction Date],"&lt;"&amp;EDATE(A32,1))</f>
        <v/>
      </c>
      <c r="J32" s="21">
        <f>I32-H32</f>
        <v/>
      </c>
      <c r="K32" s="21">
        <f>SUMIFS(tblCashFlows[Contribution Amount],tblCashFlows[Entity],"Nat Trust",tblCashFlows[Transaction Date],"&gt;="&amp;A32,tblCashFlows[Transaction Date],"&lt;"&amp;EDATE(A32,1))</f>
        <v/>
      </c>
      <c r="L32" s="21">
        <f>SUMIFS(tblCashFlows[Distribution Amount],tblCashFlows[Entity],"Nat Trust",tblCashFlows[Transaction Date],"&gt;="&amp;A32,tblCashFlows[Transaction Date],"&lt;"&amp;EDATE(A32,1))</f>
        <v/>
      </c>
      <c r="M32" s="21">
        <f>L32-K32</f>
        <v/>
      </c>
      <c r="N32" s="21">
        <f>SUM(B32,E32,H32,K32)</f>
        <v/>
      </c>
      <c r="O32" s="21">
        <f>SUM(C32,F32,I32,L32)</f>
        <v/>
      </c>
      <c r="P32" s="21">
        <f>O32-N32</f>
        <v/>
      </c>
    </row>
    <row r="33">
      <c r="A33" s="26" t="n">
        <v>44075</v>
      </c>
      <c r="B33" s="21">
        <f>SUMIFS(tblCashFlows[Contribution Amount],tblCashFlows[Entity],"Beaman Ventures",tblCashFlows[Transaction Date],"&gt;="&amp;A33,tblCashFlows[Transaction Date],"&lt;"&amp;EDATE(A33,1))</f>
        <v/>
      </c>
      <c r="C33" s="21">
        <f>SUMIFS(tblCashFlows[Distribution Amount],tblCashFlows[Entity],"Beaman Ventures",tblCashFlows[Transaction Date],"&gt;="&amp;A33,tblCashFlows[Transaction Date],"&lt;"&amp;EDATE(A33,1))</f>
        <v/>
      </c>
      <c r="D33" s="21">
        <f>C33-B33</f>
        <v/>
      </c>
      <c r="E33" s="21">
        <f>SUMIFS(tblCashFlows[Contribution Amount],tblCashFlows[Entity],"Lee Beaman",tblCashFlows[Transaction Date],"&gt;="&amp;A33,tblCashFlows[Transaction Date],"&lt;"&amp;EDATE(A33,1))</f>
        <v/>
      </c>
      <c r="F33" s="21">
        <f>SUMIFS(tblCashFlows[Distribution Amount],tblCashFlows[Entity],"Lee Beaman",tblCashFlows[Transaction Date],"&gt;="&amp;A33,tblCashFlows[Transaction Date],"&lt;"&amp;EDATE(A33,1))</f>
        <v/>
      </c>
      <c r="G33" s="21">
        <f>F33-E33</f>
        <v/>
      </c>
      <c r="H33" s="21">
        <f>SUMIFS(tblCashFlows[Contribution Amount],tblCashFlows[Entity],"Kat Trust",tblCashFlows[Transaction Date],"&gt;="&amp;A33,tblCashFlows[Transaction Date],"&lt;"&amp;EDATE(A33,1))</f>
        <v/>
      </c>
      <c r="I33" s="21">
        <f>SUMIFS(tblCashFlows[Distribution Amount],tblCashFlows[Entity],"Kat Trust",tblCashFlows[Transaction Date],"&gt;="&amp;A33,tblCashFlows[Transaction Date],"&lt;"&amp;EDATE(A33,1))</f>
        <v/>
      </c>
      <c r="J33" s="21">
        <f>I33-H33</f>
        <v/>
      </c>
      <c r="K33" s="21">
        <f>SUMIFS(tblCashFlows[Contribution Amount],tblCashFlows[Entity],"Nat Trust",tblCashFlows[Transaction Date],"&gt;="&amp;A33,tblCashFlows[Transaction Date],"&lt;"&amp;EDATE(A33,1))</f>
        <v/>
      </c>
      <c r="L33" s="21">
        <f>SUMIFS(tblCashFlows[Distribution Amount],tblCashFlows[Entity],"Nat Trust",tblCashFlows[Transaction Date],"&gt;="&amp;A33,tblCashFlows[Transaction Date],"&lt;"&amp;EDATE(A33,1))</f>
        <v/>
      </c>
      <c r="M33" s="21">
        <f>L33-K33</f>
        <v/>
      </c>
      <c r="N33" s="21">
        <f>SUM(B33,E33,H33,K33)</f>
        <v/>
      </c>
      <c r="O33" s="21">
        <f>SUM(C33,F33,I33,L33)</f>
        <v/>
      </c>
      <c r="P33" s="21">
        <f>O33-N33</f>
        <v/>
      </c>
    </row>
    <row r="34">
      <c r="A34" s="26" t="n">
        <v>44105</v>
      </c>
      <c r="B34" s="21">
        <f>SUMIFS(tblCashFlows[Contribution Amount],tblCashFlows[Entity],"Beaman Ventures",tblCashFlows[Transaction Date],"&gt;="&amp;A34,tblCashFlows[Transaction Date],"&lt;"&amp;EDATE(A34,1))</f>
        <v/>
      </c>
      <c r="C34" s="21">
        <f>SUMIFS(tblCashFlows[Distribution Amount],tblCashFlows[Entity],"Beaman Ventures",tblCashFlows[Transaction Date],"&gt;="&amp;A34,tblCashFlows[Transaction Date],"&lt;"&amp;EDATE(A34,1))</f>
        <v/>
      </c>
      <c r="D34" s="21">
        <f>C34-B34</f>
        <v/>
      </c>
      <c r="E34" s="21">
        <f>SUMIFS(tblCashFlows[Contribution Amount],tblCashFlows[Entity],"Lee Beaman",tblCashFlows[Transaction Date],"&gt;="&amp;A34,tblCashFlows[Transaction Date],"&lt;"&amp;EDATE(A34,1))</f>
        <v/>
      </c>
      <c r="F34" s="21">
        <f>SUMIFS(tblCashFlows[Distribution Amount],tblCashFlows[Entity],"Lee Beaman",tblCashFlows[Transaction Date],"&gt;="&amp;A34,tblCashFlows[Transaction Date],"&lt;"&amp;EDATE(A34,1))</f>
        <v/>
      </c>
      <c r="G34" s="21">
        <f>F34-E34</f>
        <v/>
      </c>
      <c r="H34" s="21">
        <f>SUMIFS(tblCashFlows[Contribution Amount],tblCashFlows[Entity],"Kat Trust",tblCashFlows[Transaction Date],"&gt;="&amp;A34,tblCashFlows[Transaction Date],"&lt;"&amp;EDATE(A34,1))</f>
        <v/>
      </c>
      <c r="I34" s="21">
        <f>SUMIFS(tblCashFlows[Distribution Amount],tblCashFlows[Entity],"Kat Trust",tblCashFlows[Transaction Date],"&gt;="&amp;A34,tblCashFlows[Transaction Date],"&lt;"&amp;EDATE(A34,1))</f>
        <v/>
      </c>
      <c r="J34" s="21">
        <f>I34-H34</f>
        <v/>
      </c>
      <c r="K34" s="21">
        <f>SUMIFS(tblCashFlows[Contribution Amount],tblCashFlows[Entity],"Nat Trust",tblCashFlows[Transaction Date],"&gt;="&amp;A34,tblCashFlows[Transaction Date],"&lt;"&amp;EDATE(A34,1))</f>
        <v/>
      </c>
      <c r="L34" s="21">
        <f>SUMIFS(tblCashFlows[Distribution Amount],tblCashFlows[Entity],"Nat Trust",tblCashFlows[Transaction Date],"&gt;="&amp;A34,tblCashFlows[Transaction Date],"&lt;"&amp;EDATE(A34,1))</f>
        <v/>
      </c>
      <c r="M34" s="21">
        <f>L34-K34</f>
        <v/>
      </c>
      <c r="N34" s="21">
        <f>SUM(B34,E34,H34,K34)</f>
        <v/>
      </c>
      <c r="O34" s="21">
        <f>SUM(C34,F34,I34,L34)</f>
        <v/>
      </c>
      <c r="P34" s="21">
        <f>O34-N34</f>
        <v/>
      </c>
    </row>
    <row r="35">
      <c r="A35" s="26" t="n">
        <v>44136</v>
      </c>
      <c r="B35" s="21">
        <f>SUMIFS(tblCashFlows[Contribution Amount],tblCashFlows[Entity],"Beaman Ventures",tblCashFlows[Transaction Date],"&gt;="&amp;A35,tblCashFlows[Transaction Date],"&lt;"&amp;EDATE(A35,1))</f>
        <v/>
      </c>
      <c r="C35" s="21">
        <f>SUMIFS(tblCashFlows[Distribution Amount],tblCashFlows[Entity],"Beaman Ventures",tblCashFlows[Transaction Date],"&gt;="&amp;A35,tblCashFlows[Transaction Date],"&lt;"&amp;EDATE(A35,1))</f>
        <v/>
      </c>
      <c r="D35" s="21">
        <f>C35-B35</f>
        <v/>
      </c>
      <c r="E35" s="21">
        <f>SUMIFS(tblCashFlows[Contribution Amount],tblCashFlows[Entity],"Lee Beaman",tblCashFlows[Transaction Date],"&gt;="&amp;A35,tblCashFlows[Transaction Date],"&lt;"&amp;EDATE(A35,1))</f>
        <v/>
      </c>
      <c r="F35" s="21">
        <f>SUMIFS(tblCashFlows[Distribution Amount],tblCashFlows[Entity],"Lee Beaman",tblCashFlows[Transaction Date],"&gt;="&amp;A35,tblCashFlows[Transaction Date],"&lt;"&amp;EDATE(A35,1))</f>
        <v/>
      </c>
      <c r="G35" s="21">
        <f>F35-E35</f>
        <v/>
      </c>
      <c r="H35" s="21">
        <f>SUMIFS(tblCashFlows[Contribution Amount],tblCashFlows[Entity],"Kat Trust",tblCashFlows[Transaction Date],"&gt;="&amp;A35,tblCashFlows[Transaction Date],"&lt;"&amp;EDATE(A35,1))</f>
        <v/>
      </c>
      <c r="I35" s="21">
        <f>SUMIFS(tblCashFlows[Distribution Amount],tblCashFlows[Entity],"Kat Trust",tblCashFlows[Transaction Date],"&gt;="&amp;A35,tblCashFlows[Transaction Date],"&lt;"&amp;EDATE(A35,1))</f>
        <v/>
      </c>
      <c r="J35" s="21">
        <f>I35-H35</f>
        <v/>
      </c>
      <c r="K35" s="21">
        <f>SUMIFS(tblCashFlows[Contribution Amount],tblCashFlows[Entity],"Nat Trust",tblCashFlows[Transaction Date],"&gt;="&amp;A35,tblCashFlows[Transaction Date],"&lt;"&amp;EDATE(A35,1))</f>
        <v/>
      </c>
      <c r="L35" s="21">
        <f>SUMIFS(tblCashFlows[Distribution Amount],tblCashFlows[Entity],"Nat Trust",tblCashFlows[Transaction Date],"&gt;="&amp;A35,tblCashFlows[Transaction Date],"&lt;"&amp;EDATE(A35,1))</f>
        <v/>
      </c>
      <c r="M35" s="21">
        <f>L35-K35</f>
        <v/>
      </c>
      <c r="N35" s="21">
        <f>SUM(B35,E35,H35,K35)</f>
        <v/>
      </c>
      <c r="O35" s="21">
        <f>SUM(C35,F35,I35,L35)</f>
        <v/>
      </c>
      <c r="P35" s="21">
        <f>O35-N35</f>
        <v/>
      </c>
    </row>
    <row r="36">
      <c r="A36" s="26" t="n">
        <v>44166</v>
      </c>
      <c r="B36" s="21">
        <f>SUMIFS(tblCashFlows[Contribution Amount],tblCashFlows[Entity],"Beaman Ventures",tblCashFlows[Transaction Date],"&gt;="&amp;A36,tblCashFlows[Transaction Date],"&lt;"&amp;EDATE(A36,1))</f>
        <v/>
      </c>
      <c r="C36" s="21">
        <f>SUMIFS(tblCashFlows[Distribution Amount],tblCashFlows[Entity],"Beaman Ventures",tblCashFlows[Transaction Date],"&gt;="&amp;A36,tblCashFlows[Transaction Date],"&lt;"&amp;EDATE(A36,1))</f>
        <v/>
      </c>
      <c r="D36" s="21">
        <f>C36-B36</f>
        <v/>
      </c>
      <c r="E36" s="21">
        <f>SUMIFS(tblCashFlows[Contribution Amount],tblCashFlows[Entity],"Lee Beaman",tblCashFlows[Transaction Date],"&gt;="&amp;A36,tblCashFlows[Transaction Date],"&lt;"&amp;EDATE(A36,1))</f>
        <v/>
      </c>
      <c r="F36" s="21">
        <f>SUMIFS(tblCashFlows[Distribution Amount],tblCashFlows[Entity],"Lee Beaman",tblCashFlows[Transaction Date],"&gt;="&amp;A36,tblCashFlows[Transaction Date],"&lt;"&amp;EDATE(A36,1))</f>
        <v/>
      </c>
      <c r="G36" s="21">
        <f>F36-E36</f>
        <v/>
      </c>
      <c r="H36" s="21">
        <f>SUMIFS(tblCashFlows[Contribution Amount],tblCashFlows[Entity],"Kat Trust",tblCashFlows[Transaction Date],"&gt;="&amp;A36,tblCashFlows[Transaction Date],"&lt;"&amp;EDATE(A36,1))</f>
        <v/>
      </c>
      <c r="I36" s="21">
        <f>SUMIFS(tblCashFlows[Distribution Amount],tblCashFlows[Entity],"Kat Trust",tblCashFlows[Transaction Date],"&gt;="&amp;A36,tblCashFlows[Transaction Date],"&lt;"&amp;EDATE(A36,1))</f>
        <v/>
      </c>
      <c r="J36" s="21">
        <f>I36-H36</f>
        <v/>
      </c>
      <c r="K36" s="21">
        <f>SUMIFS(tblCashFlows[Contribution Amount],tblCashFlows[Entity],"Nat Trust",tblCashFlows[Transaction Date],"&gt;="&amp;A36,tblCashFlows[Transaction Date],"&lt;"&amp;EDATE(A36,1))</f>
        <v/>
      </c>
      <c r="L36" s="21">
        <f>SUMIFS(tblCashFlows[Distribution Amount],tblCashFlows[Entity],"Nat Trust",tblCashFlows[Transaction Date],"&gt;="&amp;A36,tblCashFlows[Transaction Date],"&lt;"&amp;EDATE(A36,1))</f>
        <v/>
      </c>
      <c r="M36" s="21">
        <f>L36-K36</f>
        <v/>
      </c>
      <c r="N36" s="21">
        <f>SUM(B36,E36,H36,K36)</f>
        <v/>
      </c>
      <c r="O36" s="21">
        <f>SUM(C36,F36,I36,L36)</f>
        <v/>
      </c>
      <c r="P36" s="21">
        <f>O36-N36</f>
        <v/>
      </c>
    </row>
    <row r="37">
      <c r="A37" s="26" t="n">
        <v>44197</v>
      </c>
      <c r="B37" s="21">
        <f>SUMIFS(tblCashFlows[Contribution Amount],tblCashFlows[Entity],"Beaman Ventures",tblCashFlows[Transaction Date],"&gt;="&amp;A37,tblCashFlows[Transaction Date],"&lt;"&amp;EDATE(A37,1))</f>
        <v/>
      </c>
      <c r="C37" s="21">
        <f>SUMIFS(tblCashFlows[Distribution Amount],tblCashFlows[Entity],"Beaman Ventures",tblCashFlows[Transaction Date],"&gt;="&amp;A37,tblCashFlows[Transaction Date],"&lt;"&amp;EDATE(A37,1))</f>
        <v/>
      </c>
      <c r="D37" s="21">
        <f>C37-B37</f>
        <v/>
      </c>
      <c r="E37" s="21">
        <f>SUMIFS(tblCashFlows[Contribution Amount],tblCashFlows[Entity],"Lee Beaman",tblCashFlows[Transaction Date],"&gt;="&amp;A37,tblCashFlows[Transaction Date],"&lt;"&amp;EDATE(A37,1))</f>
        <v/>
      </c>
      <c r="F37" s="21">
        <f>SUMIFS(tblCashFlows[Distribution Amount],tblCashFlows[Entity],"Lee Beaman",tblCashFlows[Transaction Date],"&gt;="&amp;A37,tblCashFlows[Transaction Date],"&lt;"&amp;EDATE(A37,1))</f>
        <v/>
      </c>
      <c r="G37" s="21">
        <f>F37-E37</f>
        <v/>
      </c>
      <c r="H37" s="21">
        <f>SUMIFS(tblCashFlows[Contribution Amount],tblCashFlows[Entity],"Kat Trust",tblCashFlows[Transaction Date],"&gt;="&amp;A37,tblCashFlows[Transaction Date],"&lt;"&amp;EDATE(A37,1))</f>
        <v/>
      </c>
      <c r="I37" s="21">
        <f>SUMIFS(tblCashFlows[Distribution Amount],tblCashFlows[Entity],"Kat Trust",tblCashFlows[Transaction Date],"&gt;="&amp;A37,tblCashFlows[Transaction Date],"&lt;"&amp;EDATE(A37,1))</f>
        <v/>
      </c>
      <c r="J37" s="21">
        <f>I37-H37</f>
        <v/>
      </c>
      <c r="K37" s="21">
        <f>SUMIFS(tblCashFlows[Contribution Amount],tblCashFlows[Entity],"Nat Trust",tblCashFlows[Transaction Date],"&gt;="&amp;A37,tblCashFlows[Transaction Date],"&lt;"&amp;EDATE(A37,1))</f>
        <v/>
      </c>
      <c r="L37" s="21">
        <f>SUMIFS(tblCashFlows[Distribution Amount],tblCashFlows[Entity],"Nat Trust",tblCashFlows[Transaction Date],"&gt;="&amp;A37,tblCashFlows[Transaction Date],"&lt;"&amp;EDATE(A37,1))</f>
        <v/>
      </c>
      <c r="M37" s="21">
        <f>L37-K37</f>
        <v/>
      </c>
      <c r="N37" s="21">
        <f>SUM(B37,E37,H37,K37)</f>
        <v/>
      </c>
      <c r="O37" s="21">
        <f>SUM(C37,F37,I37,L37)</f>
        <v/>
      </c>
      <c r="P37" s="21">
        <f>O37-N37</f>
        <v/>
      </c>
    </row>
    <row r="38">
      <c r="A38" s="26" t="n">
        <v>44228</v>
      </c>
      <c r="B38" s="21">
        <f>SUMIFS(tblCashFlows[Contribution Amount],tblCashFlows[Entity],"Beaman Ventures",tblCashFlows[Transaction Date],"&gt;="&amp;A38,tblCashFlows[Transaction Date],"&lt;"&amp;EDATE(A38,1))</f>
        <v/>
      </c>
      <c r="C38" s="21">
        <f>SUMIFS(tblCashFlows[Distribution Amount],tblCashFlows[Entity],"Beaman Ventures",tblCashFlows[Transaction Date],"&gt;="&amp;A38,tblCashFlows[Transaction Date],"&lt;"&amp;EDATE(A38,1))</f>
        <v/>
      </c>
      <c r="D38" s="21">
        <f>C38-B38</f>
        <v/>
      </c>
      <c r="E38" s="21">
        <f>SUMIFS(tblCashFlows[Contribution Amount],tblCashFlows[Entity],"Lee Beaman",tblCashFlows[Transaction Date],"&gt;="&amp;A38,tblCashFlows[Transaction Date],"&lt;"&amp;EDATE(A38,1))</f>
        <v/>
      </c>
      <c r="F38" s="21">
        <f>SUMIFS(tblCashFlows[Distribution Amount],tblCashFlows[Entity],"Lee Beaman",tblCashFlows[Transaction Date],"&gt;="&amp;A38,tblCashFlows[Transaction Date],"&lt;"&amp;EDATE(A38,1))</f>
        <v/>
      </c>
      <c r="G38" s="21">
        <f>F38-E38</f>
        <v/>
      </c>
      <c r="H38" s="21">
        <f>SUMIFS(tblCashFlows[Contribution Amount],tblCashFlows[Entity],"Kat Trust",tblCashFlows[Transaction Date],"&gt;="&amp;A38,tblCashFlows[Transaction Date],"&lt;"&amp;EDATE(A38,1))</f>
        <v/>
      </c>
      <c r="I38" s="21">
        <f>SUMIFS(tblCashFlows[Distribution Amount],tblCashFlows[Entity],"Kat Trust",tblCashFlows[Transaction Date],"&gt;="&amp;A38,tblCashFlows[Transaction Date],"&lt;"&amp;EDATE(A38,1))</f>
        <v/>
      </c>
      <c r="J38" s="21">
        <f>I38-H38</f>
        <v/>
      </c>
      <c r="K38" s="21">
        <f>SUMIFS(tblCashFlows[Contribution Amount],tblCashFlows[Entity],"Nat Trust",tblCashFlows[Transaction Date],"&gt;="&amp;A38,tblCashFlows[Transaction Date],"&lt;"&amp;EDATE(A38,1))</f>
        <v/>
      </c>
      <c r="L38" s="21">
        <f>SUMIFS(tblCashFlows[Distribution Amount],tblCashFlows[Entity],"Nat Trust",tblCashFlows[Transaction Date],"&gt;="&amp;A38,tblCashFlows[Transaction Date],"&lt;"&amp;EDATE(A38,1))</f>
        <v/>
      </c>
      <c r="M38" s="21">
        <f>L38-K38</f>
        <v/>
      </c>
      <c r="N38" s="21">
        <f>SUM(B38,E38,H38,K38)</f>
        <v/>
      </c>
      <c r="O38" s="21">
        <f>SUM(C38,F38,I38,L38)</f>
        <v/>
      </c>
      <c r="P38" s="21">
        <f>O38-N38</f>
        <v/>
      </c>
    </row>
    <row r="39">
      <c r="A39" s="26" t="n">
        <v>44256</v>
      </c>
      <c r="B39" s="21">
        <f>SUMIFS(tblCashFlows[Contribution Amount],tblCashFlows[Entity],"Beaman Ventures",tblCashFlows[Transaction Date],"&gt;="&amp;A39,tblCashFlows[Transaction Date],"&lt;"&amp;EDATE(A39,1))</f>
        <v/>
      </c>
      <c r="C39" s="21">
        <f>SUMIFS(tblCashFlows[Distribution Amount],tblCashFlows[Entity],"Beaman Ventures",tblCashFlows[Transaction Date],"&gt;="&amp;A39,tblCashFlows[Transaction Date],"&lt;"&amp;EDATE(A39,1))</f>
        <v/>
      </c>
      <c r="D39" s="21">
        <f>C39-B39</f>
        <v/>
      </c>
      <c r="E39" s="21">
        <f>SUMIFS(tblCashFlows[Contribution Amount],tblCashFlows[Entity],"Lee Beaman",tblCashFlows[Transaction Date],"&gt;="&amp;A39,tblCashFlows[Transaction Date],"&lt;"&amp;EDATE(A39,1))</f>
        <v/>
      </c>
      <c r="F39" s="21">
        <f>SUMIFS(tblCashFlows[Distribution Amount],tblCashFlows[Entity],"Lee Beaman",tblCashFlows[Transaction Date],"&gt;="&amp;A39,tblCashFlows[Transaction Date],"&lt;"&amp;EDATE(A39,1))</f>
        <v/>
      </c>
      <c r="G39" s="21">
        <f>F39-E39</f>
        <v/>
      </c>
      <c r="H39" s="21">
        <f>SUMIFS(tblCashFlows[Contribution Amount],tblCashFlows[Entity],"Kat Trust",tblCashFlows[Transaction Date],"&gt;="&amp;A39,tblCashFlows[Transaction Date],"&lt;"&amp;EDATE(A39,1))</f>
        <v/>
      </c>
      <c r="I39" s="21">
        <f>SUMIFS(tblCashFlows[Distribution Amount],tblCashFlows[Entity],"Kat Trust",tblCashFlows[Transaction Date],"&gt;="&amp;A39,tblCashFlows[Transaction Date],"&lt;"&amp;EDATE(A39,1))</f>
        <v/>
      </c>
      <c r="J39" s="21">
        <f>I39-H39</f>
        <v/>
      </c>
      <c r="K39" s="21">
        <f>SUMIFS(tblCashFlows[Contribution Amount],tblCashFlows[Entity],"Nat Trust",tblCashFlows[Transaction Date],"&gt;="&amp;A39,tblCashFlows[Transaction Date],"&lt;"&amp;EDATE(A39,1))</f>
        <v/>
      </c>
      <c r="L39" s="21">
        <f>SUMIFS(tblCashFlows[Distribution Amount],tblCashFlows[Entity],"Nat Trust",tblCashFlows[Transaction Date],"&gt;="&amp;A39,tblCashFlows[Transaction Date],"&lt;"&amp;EDATE(A39,1))</f>
        <v/>
      </c>
      <c r="M39" s="21">
        <f>L39-K39</f>
        <v/>
      </c>
      <c r="N39" s="21">
        <f>SUM(B39,E39,H39,K39)</f>
        <v/>
      </c>
      <c r="O39" s="21">
        <f>SUM(C39,F39,I39,L39)</f>
        <v/>
      </c>
      <c r="P39" s="21">
        <f>O39-N39</f>
        <v/>
      </c>
    </row>
    <row r="40">
      <c r="A40" s="26" t="n">
        <v>44287</v>
      </c>
      <c r="B40" s="21">
        <f>SUMIFS(tblCashFlows[Contribution Amount],tblCashFlows[Entity],"Beaman Ventures",tblCashFlows[Transaction Date],"&gt;="&amp;A40,tblCashFlows[Transaction Date],"&lt;"&amp;EDATE(A40,1))</f>
        <v/>
      </c>
      <c r="C40" s="21">
        <f>SUMIFS(tblCashFlows[Distribution Amount],tblCashFlows[Entity],"Beaman Ventures",tblCashFlows[Transaction Date],"&gt;="&amp;A40,tblCashFlows[Transaction Date],"&lt;"&amp;EDATE(A40,1))</f>
        <v/>
      </c>
      <c r="D40" s="21">
        <f>C40-B40</f>
        <v/>
      </c>
      <c r="E40" s="21">
        <f>SUMIFS(tblCashFlows[Contribution Amount],tblCashFlows[Entity],"Lee Beaman",tblCashFlows[Transaction Date],"&gt;="&amp;A40,tblCashFlows[Transaction Date],"&lt;"&amp;EDATE(A40,1))</f>
        <v/>
      </c>
      <c r="F40" s="21">
        <f>SUMIFS(tblCashFlows[Distribution Amount],tblCashFlows[Entity],"Lee Beaman",tblCashFlows[Transaction Date],"&gt;="&amp;A40,tblCashFlows[Transaction Date],"&lt;"&amp;EDATE(A40,1))</f>
        <v/>
      </c>
      <c r="G40" s="21">
        <f>F40-E40</f>
        <v/>
      </c>
      <c r="H40" s="21">
        <f>SUMIFS(tblCashFlows[Contribution Amount],tblCashFlows[Entity],"Kat Trust",tblCashFlows[Transaction Date],"&gt;="&amp;A40,tblCashFlows[Transaction Date],"&lt;"&amp;EDATE(A40,1))</f>
        <v/>
      </c>
      <c r="I40" s="21">
        <f>SUMIFS(tblCashFlows[Distribution Amount],tblCashFlows[Entity],"Kat Trust",tblCashFlows[Transaction Date],"&gt;="&amp;A40,tblCashFlows[Transaction Date],"&lt;"&amp;EDATE(A40,1))</f>
        <v/>
      </c>
      <c r="J40" s="21">
        <f>I40-H40</f>
        <v/>
      </c>
      <c r="K40" s="21">
        <f>SUMIFS(tblCashFlows[Contribution Amount],tblCashFlows[Entity],"Nat Trust",tblCashFlows[Transaction Date],"&gt;="&amp;A40,tblCashFlows[Transaction Date],"&lt;"&amp;EDATE(A40,1))</f>
        <v/>
      </c>
      <c r="L40" s="21">
        <f>SUMIFS(tblCashFlows[Distribution Amount],tblCashFlows[Entity],"Nat Trust",tblCashFlows[Transaction Date],"&gt;="&amp;A40,tblCashFlows[Transaction Date],"&lt;"&amp;EDATE(A40,1))</f>
        <v/>
      </c>
      <c r="M40" s="21">
        <f>L40-K40</f>
        <v/>
      </c>
      <c r="N40" s="21">
        <f>SUM(B40,E40,H40,K40)</f>
        <v/>
      </c>
      <c r="O40" s="21">
        <f>SUM(C40,F40,I40,L40)</f>
        <v/>
      </c>
      <c r="P40" s="21">
        <f>O40-N40</f>
        <v/>
      </c>
    </row>
    <row r="41">
      <c r="A41" s="26" t="n">
        <v>44317</v>
      </c>
      <c r="B41" s="21">
        <f>SUMIFS(tblCashFlows[Contribution Amount],tblCashFlows[Entity],"Beaman Ventures",tblCashFlows[Transaction Date],"&gt;="&amp;A41,tblCashFlows[Transaction Date],"&lt;"&amp;EDATE(A41,1))</f>
        <v/>
      </c>
      <c r="C41" s="21">
        <f>SUMIFS(tblCashFlows[Distribution Amount],tblCashFlows[Entity],"Beaman Ventures",tblCashFlows[Transaction Date],"&gt;="&amp;A41,tblCashFlows[Transaction Date],"&lt;"&amp;EDATE(A41,1))</f>
        <v/>
      </c>
      <c r="D41" s="21">
        <f>C41-B41</f>
        <v/>
      </c>
      <c r="E41" s="21">
        <f>SUMIFS(tblCashFlows[Contribution Amount],tblCashFlows[Entity],"Lee Beaman",tblCashFlows[Transaction Date],"&gt;="&amp;A41,tblCashFlows[Transaction Date],"&lt;"&amp;EDATE(A41,1))</f>
        <v/>
      </c>
      <c r="F41" s="21">
        <f>SUMIFS(tblCashFlows[Distribution Amount],tblCashFlows[Entity],"Lee Beaman",tblCashFlows[Transaction Date],"&gt;="&amp;A41,tblCashFlows[Transaction Date],"&lt;"&amp;EDATE(A41,1))</f>
        <v/>
      </c>
      <c r="G41" s="21">
        <f>F41-E41</f>
        <v/>
      </c>
      <c r="H41" s="21">
        <f>SUMIFS(tblCashFlows[Contribution Amount],tblCashFlows[Entity],"Kat Trust",tblCashFlows[Transaction Date],"&gt;="&amp;A41,tblCashFlows[Transaction Date],"&lt;"&amp;EDATE(A41,1))</f>
        <v/>
      </c>
      <c r="I41" s="21">
        <f>SUMIFS(tblCashFlows[Distribution Amount],tblCashFlows[Entity],"Kat Trust",tblCashFlows[Transaction Date],"&gt;="&amp;A41,tblCashFlows[Transaction Date],"&lt;"&amp;EDATE(A41,1))</f>
        <v/>
      </c>
      <c r="J41" s="21">
        <f>I41-H41</f>
        <v/>
      </c>
      <c r="K41" s="21">
        <f>SUMIFS(tblCashFlows[Contribution Amount],tblCashFlows[Entity],"Nat Trust",tblCashFlows[Transaction Date],"&gt;="&amp;A41,tblCashFlows[Transaction Date],"&lt;"&amp;EDATE(A41,1))</f>
        <v/>
      </c>
      <c r="L41" s="21">
        <f>SUMIFS(tblCashFlows[Distribution Amount],tblCashFlows[Entity],"Nat Trust",tblCashFlows[Transaction Date],"&gt;="&amp;A41,tblCashFlows[Transaction Date],"&lt;"&amp;EDATE(A41,1))</f>
        <v/>
      </c>
      <c r="M41" s="21">
        <f>L41-K41</f>
        <v/>
      </c>
      <c r="N41" s="21">
        <f>SUM(B41,E41,H41,K41)</f>
        <v/>
      </c>
      <c r="O41" s="21">
        <f>SUM(C41,F41,I41,L41)</f>
        <v/>
      </c>
      <c r="P41" s="21">
        <f>O41-N41</f>
        <v/>
      </c>
    </row>
    <row r="42">
      <c r="A42" s="26" t="n">
        <v>44348</v>
      </c>
      <c r="B42" s="21">
        <f>SUMIFS(tblCashFlows[Contribution Amount],tblCashFlows[Entity],"Beaman Ventures",tblCashFlows[Transaction Date],"&gt;="&amp;A42,tblCashFlows[Transaction Date],"&lt;"&amp;EDATE(A42,1))</f>
        <v/>
      </c>
      <c r="C42" s="21">
        <f>SUMIFS(tblCashFlows[Distribution Amount],tblCashFlows[Entity],"Beaman Ventures",tblCashFlows[Transaction Date],"&gt;="&amp;A42,tblCashFlows[Transaction Date],"&lt;"&amp;EDATE(A42,1))</f>
        <v/>
      </c>
      <c r="D42" s="21">
        <f>C42-B42</f>
        <v/>
      </c>
      <c r="E42" s="21">
        <f>SUMIFS(tblCashFlows[Contribution Amount],tblCashFlows[Entity],"Lee Beaman",tblCashFlows[Transaction Date],"&gt;="&amp;A42,tblCashFlows[Transaction Date],"&lt;"&amp;EDATE(A42,1))</f>
        <v/>
      </c>
      <c r="F42" s="21">
        <f>SUMIFS(tblCashFlows[Distribution Amount],tblCashFlows[Entity],"Lee Beaman",tblCashFlows[Transaction Date],"&gt;="&amp;A42,tblCashFlows[Transaction Date],"&lt;"&amp;EDATE(A42,1))</f>
        <v/>
      </c>
      <c r="G42" s="21">
        <f>F42-E42</f>
        <v/>
      </c>
      <c r="H42" s="21">
        <f>SUMIFS(tblCashFlows[Contribution Amount],tblCashFlows[Entity],"Kat Trust",tblCashFlows[Transaction Date],"&gt;="&amp;A42,tblCashFlows[Transaction Date],"&lt;"&amp;EDATE(A42,1))</f>
        <v/>
      </c>
      <c r="I42" s="21">
        <f>SUMIFS(tblCashFlows[Distribution Amount],tblCashFlows[Entity],"Kat Trust",tblCashFlows[Transaction Date],"&gt;="&amp;A42,tblCashFlows[Transaction Date],"&lt;"&amp;EDATE(A42,1))</f>
        <v/>
      </c>
      <c r="J42" s="21">
        <f>I42-H42</f>
        <v/>
      </c>
      <c r="K42" s="21">
        <f>SUMIFS(tblCashFlows[Contribution Amount],tblCashFlows[Entity],"Nat Trust",tblCashFlows[Transaction Date],"&gt;="&amp;A42,tblCashFlows[Transaction Date],"&lt;"&amp;EDATE(A42,1))</f>
        <v/>
      </c>
      <c r="L42" s="21">
        <f>SUMIFS(tblCashFlows[Distribution Amount],tblCashFlows[Entity],"Nat Trust",tblCashFlows[Transaction Date],"&gt;="&amp;A42,tblCashFlows[Transaction Date],"&lt;"&amp;EDATE(A42,1))</f>
        <v/>
      </c>
      <c r="M42" s="21">
        <f>L42-K42</f>
        <v/>
      </c>
      <c r="N42" s="21">
        <f>SUM(B42,E42,H42,K42)</f>
        <v/>
      </c>
      <c r="O42" s="21">
        <f>SUM(C42,F42,I42,L42)</f>
        <v/>
      </c>
      <c r="P42" s="21">
        <f>O42-N42</f>
        <v/>
      </c>
    </row>
    <row r="43">
      <c r="A43" s="26" t="n">
        <v>44378</v>
      </c>
      <c r="B43" s="21">
        <f>SUMIFS(tblCashFlows[Contribution Amount],tblCashFlows[Entity],"Beaman Ventures",tblCashFlows[Transaction Date],"&gt;="&amp;A43,tblCashFlows[Transaction Date],"&lt;"&amp;EDATE(A43,1))</f>
        <v/>
      </c>
      <c r="C43" s="21">
        <f>SUMIFS(tblCashFlows[Distribution Amount],tblCashFlows[Entity],"Beaman Ventures",tblCashFlows[Transaction Date],"&gt;="&amp;A43,tblCashFlows[Transaction Date],"&lt;"&amp;EDATE(A43,1))</f>
        <v/>
      </c>
      <c r="D43" s="21">
        <f>C43-B43</f>
        <v/>
      </c>
      <c r="E43" s="21">
        <f>SUMIFS(tblCashFlows[Contribution Amount],tblCashFlows[Entity],"Lee Beaman",tblCashFlows[Transaction Date],"&gt;="&amp;A43,tblCashFlows[Transaction Date],"&lt;"&amp;EDATE(A43,1))</f>
        <v/>
      </c>
      <c r="F43" s="21">
        <f>SUMIFS(tblCashFlows[Distribution Amount],tblCashFlows[Entity],"Lee Beaman",tblCashFlows[Transaction Date],"&gt;="&amp;A43,tblCashFlows[Transaction Date],"&lt;"&amp;EDATE(A43,1))</f>
        <v/>
      </c>
      <c r="G43" s="21">
        <f>F43-E43</f>
        <v/>
      </c>
      <c r="H43" s="21">
        <f>SUMIFS(tblCashFlows[Contribution Amount],tblCashFlows[Entity],"Kat Trust",tblCashFlows[Transaction Date],"&gt;="&amp;A43,tblCashFlows[Transaction Date],"&lt;"&amp;EDATE(A43,1))</f>
        <v/>
      </c>
      <c r="I43" s="21">
        <f>SUMIFS(tblCashFlows[Distribution Amount],tblCashFlows[Entity],"Kat Trust",tblCashFlows[Transaction Date],"&gt;="&amp;A43,tblCashFlows[Transaction Date],"&lt;"&amp;EDATE(A43,1))</f>
        <v/>
      </c>
      <c r="J43" s="21">
        <f>I43-H43</f>
        <v/>
      </c>
      <c r="K43" s="21">
        <f>SUMIFS(tblCashFlows[Contribution Amount],tblCashFlows[Entity],"Nat Trust",tblCashFlows[Transaction Date],"&gt;="&amp;A43,tblCashFlows[Transaction Date],"&lt;"&amp;EDATE(A43,1))</f>
        <v/>
      </c>
      <c r="L43" s="21">
        <f>SUMIFS(tblCashFlows[Distribution Amount],tblCashFlows[Entity],"Nat Trust",tblCashFlows[Transaction Date],"&gt;="&amp;A43,tblCashFlows[Transaction Date],"&lt;"&amp;EDATE(A43,1))</f>
        <v/>
      </c>
      <c r="M43" s="21">
        <f>L43-K43</f>
        <v/>
      </c>
      <c r="N43" s="21">
        <f>SUM(B43,E43,H43,K43)</f>
        <v/>
      </c>
      <c r="O43" s="21">
        <f>SUM(C43,F43,I43,L43)</f>
        <v/>
      </c>
      <c r="P43" s="21">
        <f>O43-N43</f>
        <v/>
      </c>
    </row>
    <row r="44">
      <c r="A44" s="26" t="n">
        <v>44409</v>
      </c>
      <c r="B44" s="21">
        <f>SUMIFS(tblCashFlows[Contribution Amount],tblCashFlows[Entity],"Beaman Ventures",tblCashFlows[Transaction Date],"&gt;="&amp;A44,tblCashFlows[Transaction Date],"&lt;"&amp;EDATE(A44,1))</f>
        <v/>
      </c>
      <c r="C44" s="21">
        <f>SUMIFS(tblCashFlows[Distribution Amount],tblCashFlows[Entity],"Beaman Ventures",tblCashFlows[Transaction Date],"&gt;="&amp;A44,tblCashFlows[Transaction Date],"&lt;"&amp;EDATE(A44,1))</f>
        <v/>
      </c>
      <c r="D44" s="21">
        <f>C44-B44</f>
        <v/>
      </c>
      <c r="E44" s="21">
        <f>SUMIFS(tblCashFlows[Contribution Amount],tblCashFlows[Entity],"Lee Beaman",tblCashFlows[Transaction Date],"&gt;="&amp;A44,tblCashFlows[Transaction Date],"&lt;"&amp;EDATE(A44,1))</f>
        <v/>
      </c>
      <c r="F44" s="21">
        <f>SUMIFS(tblCashFlows[Distribution Amount],tblCashFlows[Entity],"Lee Beaman",tblCashFlows[Transaction Date],"&gt;="&amp;A44,tblCashFlows[Transaction Date],"&lt;"&amp;EDATE(A44,1))</f>
        <v/>
      </c>
      <c r="G44" s="21">
        <f>F44-E44</f>
        <v/>
      </c>
      <c r="H44" s="21">
        <f>SUMIFS(tblCashFlows[Contribution Amount],tblCashFlows[Entity],"Kat Trust",tblCashFlows[Transaction Date],"&gt;="&amp;A44,tblCashFlows[Transaction Date],"&lt;"&amp;EDATE(A44,1))</f>
        <v/>
      </c>
      <c r="I44" s="21">
        <f>SUMIFS(tblCashFlows[Distribution Amount],tblCashFlows[Entity],"Kat Trust",tblCashFlows[Transaction Date],"&gt;="&amp;A44,tblCashFlows[Transaction Date],"&lt;"&amp;EDATE(A44,1))</f>
        <v/>
      </c>
      <c r="J44" s="21">
        <f>I44-H44</f>
        <v/>
      </c>
      <c r="K44" s="21">
        <f>SUMIFS(tblCashFlows[Contribution Amount],tblCashFlows[Entity],"Nat Trust",tblCashFlows[Transaction Date],"&gt;="&amp;A44,tblCashFlows[Transaction Date],"&lt;"&amp;EDATE(A44,1))</f>
        <v/>
      </c>
      <c r="L44" s="21">
        <f>SUMIFS(tblCashFlows[Distribution Amount],tblCashFlows[Entity],"Nat Trust",tblCashFlows[Transaction Date],"&gt;="&amp;A44,tblCashFlows[Transaction Date],"&lt;"&amp;EDATE(A44,1))</f>
        <v/>
      </c>
      <c r="M44" s="21">
        <f>L44-K44</f>
        <v/>
      </c>
      <c r="N44" s="21">
        <f>SUM(B44,E44,H44,K44)</f>
        <v/>
      </c>
      <c r="O44" s="21">
        <f>SUM(C44,F44,I44,L44)</f>
        <v/>
      </c>
      <c r="P44" s="21">
        <f>O44-N44</f>
        <v/>
      </c>
    </row>
    <row r="45">
      <c r="A45" s="26" t="n">
        <v>44440</v>
      </c>
      <c r="B45" s="21">
        <f>SUMIFS(tblCashFlows[Contribution Amount],tblCashFlows[Entity],"Beaman Ventures",tblCashFlows[Transaction Date],"&gt;="&amp;A45,tblCashFlows[Transaction Date],"&lt;"&amp;EDATE(A45,1))</f>
        <v/>
      </c>
      <c r="C45" s="21">
        <f>SUMIFS(tblCashFlows[Distribution Amount],tblCashFlows[Entity],"Beaman Ventures",tblCashFlows[Transaction Date],"&gt;="&amp;A45,tblCashFlows[Transaction Date],"&lt;"&amp;EDATE(A45,1))</f>
        <v/>
      </c>
      <c r="D45" s="21">
        <f>C45-B45</f>
        <v/>
      </c>
      <c r="E45" s="21">
        <f>SUMIFS(tblCashFlows[Contribution Amount],tblCashFlows[Entity],"Lee Beaman",tblCashFlows[Transaction Date],"&gt;="&amp;A45,tblCashFlows[Transaction Date],"&lt;"&amp;EDATE(A45,1))</f>
        <v/>
      </c>
      <c r="F45" s="21">
        <f>SUMIFS(tblCashFlows[Distribution Amount],tblCashFlows[Entity],"Lee Beaman",tblCashFlows[Transaction Date],"&gt;="&amp;A45,tblCashFlows[Transaction Date],"&lt;"&amp;EDATE(A45,1))</f>
        <v/>
      </c>
      <c r="G45" s="21">
        <f>F45-E45</f>
        <v/>
      </c>
      <c r="H45" s="21">
        <f>SUMIFS(tblCashFlows[Contribution Amount],tblCashFlows[Entity],"Kat Trust",tblCashFlows[Transaction Date],"&gt;="&amp;A45,tblCashFlows[Transaction Date],"&lt;"&amp;EDATE(A45,1))</f>
        <v/>
      </c>
      <c r="I45" s="21">
        <f>SUMIFS(tblCashFlows[Distribution Amount],tblCashFlows[Entity],"Kat Trust",tblCashFlows[Transaction Date],"&gt;="&amp;A45,tblCashFlows[Transaction Date],"&lt;"&amp;EDATE(A45,1))</f>
        <v/>
      </c>
      <c r="J45" s="21">
        <f>I45-H45</f>
        <v/>
      </c>
      <c r="K45" s="21">
        <f>SUMIFS(tblCashFlows[Contribution Amount],tblCashFlows[Entity],"Nat Trust",tblCashFlows[Transaction Date],"&gt;="&amp;A45,tblCashFlows[Transaction Date],"&lt;"&amp;EDATE(A45,1))</f>
        <v/>
      </c>
      <c r="L45" s="21">
        <f>SUMIFS(tblCashFlows[Distribution Amount],tblCashFlows[Entity],"Nat Trust",tblCashFlows[Transaction Date],"&gt;="&amp;A45,tblCashFlows[Transaction Date],"&lt;"&amp;EDATE(A45,1))</f>
        <v/>
      </c>
      <c r="M45" s="21">
        <f>L45-K45</f>
        <v/>
      </c>
      <c r="N45" s="21">
        <f>SUM(B45,E45,H45,K45)</f>
        <v/>
      </c>
      <c r="O45" s="21">
        <f>SUM(C45,F45,I45,L45)</f>
        <v/>
      </c>
      <c r="P45" s="21">
        <f>O45-N45</f>
        <v/>
      </c>
    </row>
    <row r="46">
      <c r="A46" s="26" t="n">
        <v>44470</v>
      </c>
      <c r="B46" s="21">
        <f>SUMIFS(tblCashFlows[Contribution Amount],tblCashFlows[Entity],"Beaman Ventures",tblCashFlows[Transaction Date],"&gt;="&amp;A46,tblCashFlows[Transaction Date],"&lt;"&amp;EDATE(A46,1))</f>
        <v/>
      </c>
      <c r="C46" s="21">
        <f>SUMIFS(tblCashFlows[Distribution Amount],tblCashFlows[Entity],"Beaman Ventures",tblCashFlows[Transaction Date],"&gt;="&amp;A46,tblCashFlows[Transaction Date],"&lt;"&amp;EDATE(A46,1))</f>
        <v/>
      </c>
      <c r="D46" s="21">
        <f>C46-B46</f>
        <v/>
      </c>
      <c r="E46" s="21">
        <f>SUMIFS(tblCashFlows[Contribution Amount],tblCashFlows[Entity],"Lee Beaman",tblCashFlows[Transaction Date],"&gt;="&amp;A46,tblCashFlows[Transaction Date],"&lt;"&amp;EDATE(A46,1))</f>
        <v/>
      </c>
      <c r="F46" s="21">
        <f>SUMIFS(tblCashFlows[Distribution Amount],tblCashFlows[Entity],"Lee Beaman",tblCashFlows[Transaction Date],"&gt;="&amp;A46,tblCashFlows[Transaction Date],"&lt;"&amp;EDATE(A46,1))</f>
        <v/>
      </c>
      <c r="G46" s="21">
        <f>F46-E46</f>
        <v/>
      </c>
      <c r="H46" s="21">
        <f>SUMIFS(tblCashFlows[Contribution Amount],tblCashFlows[Entity],"Kat Trust",tblCashFlows[Transaction Date],"&gt;="&amp;A46,tblCashFlows[Transaction Date],"&lt;"&amp;EDATE(A46,1))</f>
        <v/>
      </c>
      <c r="I46" s="21">
        <f>SUMIFS(tblCashFlows[Distribution Amount],tblCashFlows[Entity],"Kat Trust",tblCashFlows[Transaction Date],"&gt;="&amp;A46,tblCashFlows[Transaction Date],"&lt;"&amp;EDATE(A46,1))</f>
        <v/>
      </c>
      <c r="J46" s="21">
        <f>I46-H46</f>
        <v/>
      </c>
      <c r="K46" s="21">
        <f>SUMIFS(tblCashFlows[Contribution Amount],tblCashFlows[Entity],"Nat Trust",tblCashFlows[Transaction Date],"&gt;="&amp;A46,tblCashFlows[Transaction Date],"&lt;"&amp;EDATE(A46,1))</f>
        <v/>
      </c>
      <c r="L46" s="21">
        <f>SUMIFS(tblCashFlows[Distribution Amount],tblCashFlows[Entity],"Nat Trust",tblCashFlows[Transaction Date],"&gt;="&amp;A46,tblCashFlows[Transaction Date],"&lt;"&amp;EDATE(A46,1))</f>
        <v/>
      </c>
      <c r="M46" s="21">
        <f>L46-K46</f>
        <v/>
      </c>
      <c r="N46" s="21">
        <f>SUM(B46,E46,H46,K46)</f>
        <v/>
      </c>
      <c r="O46" s="21">
        <f>SUM(C46,F46,I46,L46)</f>
        <v/>
      </c>
      <c r="P46" s="21">
        <f>O46-N46</f>
        <v/>
      </c>
    </row>
    <row r="47">
      <c r="A47" s="26" t="n">
        <v>44501</v>
      </c>
      <c r="B47" s="21">
        <f>SUMIFS(tblCashFlows[Contribution Amount],tblCashFlows[Entity],"Beaman Ventures",tblCashFlows[Transaction Date],"&gt;="&amp;A47,tblCashFlows[Transaction Date],"&lt;"&amp;EDATE(A47,1))</f>
        <v/>
      </c>
      <c r="C47" s="21">
        <f>SUMIFS(tblCashFlows[Distribution Amount],tblCashFlows[Entity],"Beaman Ventures",tblCashFlows[Transaction Date],"&gt;="&amp;A47,tblCashFlows[Transaction Date],"&lt;"&amp;EDATE(A47,1))</f>
        <v/>
      </c>
      <c r="D47" s="21">
        <f>C47-B47</f>
        <v/>
      </c>
      <c r="E47" s="21">
        <f>SUMIFS(tblCashFlows[Contribution Amount],tblCashFlows[Entity],"Lee Beaman",tblCashFlows[Transaction Date],"&gt;="&amp;A47,tblCashFlows[Transaction Date],"&lt;"&amp;EDATE(A47,1))</f>
        <v/>
      </c>
      <c r="F47" s="21">
        <f>SUMIFS(tblCashFlows[Distribution Amount],tblCashFlows[Entity],"Lee Beaman",tblCashFlows[Transaction Date],"&gt;="&amp;A47,tblCashFlows[Transaction Date],"&lt;"&amp;EDATE(A47,1))</f>
        <v/>
      </c>
      <c r="G47" s="21">
        <f>F47-E47</f>
        <v/>
      </c>
      <c r="H47" s="21">
        <f>SUMIFS(tblCashFlows[Contribution Amount],tblCashFlows[Entity],"Kat Trust",tblCashFlows[Transaction Date],"&gt;="&amp;A47,tblCashFlows[Transaction Date],"&lt;"&amp;EDATE(A47,1))</f>
        <v/>
      </c>
      <c r="I47" s="21">
        <f>SUMIFS(tblCashFlows[Distribution Amount],tblCashFlows[Entity],"Kat Trust",tblCashFlows[Transaction Date],"&gt;="&amp;A47,tblCashFlows[Transaction Date],"&lt;"&amp;EDATE(A47,1))</f>
        <v/>
      </c>
      <c r="J47" s="21">
        <f>I47-H47</f>
        <v/>
      </c>
      <c r="K47" s="21">
        <f>SUMIFS(tblCashFlows[Contribution Amount],tblCashFlows[Entity],"Nat Trust",tblCashFlows[Transaction Date],"&gt;="&amp;A47,tblCashFlows[Transaction Date],"&lt;"&amp;EDATE(A47,1))</f>
        <v/>
      </c>
      <c r="L47" s="21">
        <f>SUMIFS(tblCashFlows[Distribution Amount],tblCashFlows[Entity],"Nat Trust",tblCashFlows[Transaction Date],"&gt;="&amp;A47,tblCashFlows[Transaction Date],"&lt;"&amp;EDATE(A47,1))</f>
        <v/>
      </c>
      <c r="M47" s="21">
        <f>L47-K47</f>
        <v/>
      </c>
      <c r="N47" s="21">
        <f>SUM(B47,E47,H47,K47)</f>
        <v/>
      </c>
      <c r="O47" s="21">
        <f>SUM(C47,F47,I47,L47)</f>
        <v/>
      </c>
      <c r="P47" s="21">
        <f>O47-N47</f>
        <v/>
      </c>
    </row>
    <row r="48">
      <c r="A48" s="26" t="n">
        <v>44531</v>
      </c>
      <c r="B48" s="21">
        <f>SUMIFS(tblCashFlows[Contribution Amount],tblCashFlows[Entity],"Beaman Ventures",tblCashFlows[Transaction Date],"&gt;="&amp;A48,tblCashFlows[Transaction Date],"&lt;"&amp;EDATE(A48,1))</f>
        <v/>
      </c>
      <c r="C48" s="21">
        <f>SUMIFS(tblCashFlows[Distribution Amount],tblCashFlows[Entity],"Beaman Ventures",tblCashFlows[Transaction Date],"&gt;="&amp;A48,tblCashFlows[Transaction Date],"&lt;"&amp;EDATE(A48,1))</f>
        <v/>
      </c>
      <c r="D48" s="21">
        <f>C48-B48</f>
        <v/>
      </c>
      <c r="E48" s="21">
        <f>SUMIFS(tblCashFlows[Contribution Amount],tblCashFlows[Entity],"Lee Beaman",tblCashFlows[Transaction Date],"&gt;="&amp;A48,tblCashFlows[Transaction Date],"&lt;"&amp;EDATE(A48,1))</f>
        <v/>
      </c>
      <c r="F48" s="21">
        <f>SUMIFS(tblCashFlows[Distribution Amount],tblCashFlows[Entity],"Lee Beaman",tblCashFlows[Transaction Date],"&gt;="&amp;A48,tblCashFlows[Transaction Date],"&lt;"&amp;EDATE(A48,1))</f>
        <v/>
      </c>
      <c r="G48" s="21">
        <f>F48-E48</f>
        <v/>
      </c>
      <c r="H48" s="21">
        <f>SUMIFS(tblCashFlows[Contribution Amount],tblCashFlows[Entity],"Kat Trust",tblCashFlows[Transaction Date],"&gt;="&amp;A48,tblCashFlows[Transaction Date],"&lt;"&amp;EDATE(A48,1))</f>
        <v/>
      </c>
      <c r="I48" s="21">
        <f>SUMIFS(tblCashFlows[Distribution Amount],tblCashFlows[Entity],"Kat Trust",tblCashFlows[Transaction Date],"&gt;="&amp;A48,tblCashFlows[Transaction Date],"&lt;"&amp;EDATE(A48,1))</f>
        <v/>
      </c>
      <c r="J48" s="21">
        <f>I48-H48</f>
        <v/>
      </c>
      <c r="K48" s="21">
        <f>SUMIFS(tblCashFlows[Contribution Amount],tblCashFlows[Entity],"Nat Trust",tblCashFlows[Transaction Date],"&gt;="&amp;A48,tblCashFlows[Transaction Date],"&lt;"&amp;EDATE(A48,1))</f>
        <v/>
      </c>
      <c r="L48" s="21">
        <f>SUMIFS(tblCashFlows[Distribution Amount],tblCashFlows[Entity],"Nat Trust",tblCashFlows[Transaction Date],"&gt;="&amp;A48,tblCashFlows[Transaction Date],"&lt;"&amp;EDATE(A48,1))</f>
        <v/>
      </c>
      <c r="M48" s="21">
        <f>L48-K48</f>
        <v/>
      </c>
      <c r="N48" s="21">
        <f>SUM(B48,E48,H48,K48)</f>
        <v/>
      </c>
      <c r="O48" s="21">
        <f>SUM(C48,F48,I48,L48)</f>
        <v/>
      </c>
      <c r="P48" s="21">
        <f>O48-N48</f>
        <v/>
      </c>
    </row>
    <row r="49">
      <c r="A49" s="26" t="n">
        <v>44562</v>
      </c>
      <c r="B49" s="21">
        <f>SUMIFS(tblCashFlows[Contribution Amount],tblCashFlows[Entity],"Beaman Ventures",tblCashFlows[Transaction Date],"&gt;="&amp;A49,tblCashFlows[Transaction Date],"&lt;"&amp;EDATE(A49,1))</f>
        <v/>
      </c>
      <c r="C49" s="21">
        <f>SUMIFS(tblCashFlows[Distribution Amount],tblCashFlows[Entity],"Beaman Ventures",tblCashFlows[Transaction Date],"&gt;="&amp;A49,tblCashFlows[Transaction Date],"&lt;"&amp;EDATE(A49,1))</f>
        <v/>
      </c>
      <c r="D49" s="21">
        <f>C49-B49</f>
        <v/>
      </c>
      <c r="E49" s="21">
        <f>SUMIFS(tblCashFlows[Contribution Amount],tblCashFlows[Entity],"Lee Beaman",tblCashFlows[Transaction Date],"&gt;="&amp;A49,tblCashFlows[Transaction Date],"&lt;"&amp;EDATE(A49,1))</f>
        <v/>
      </c>
      <c r="F49" s="21">
        <f>SUMIFS(tblCashFlows[Distribution Amount],tblCashFlows[Entity],"Lee Beaman",tblCashFlows[Transaction Date],"&gt;="&amp;A49,tblCashFlows[Transaction Date],"&lt;"&amp;EDATE(A49,1))</f>
        <v/>
      </c>
      <c r="G49" s="21">
        <f>F49-E49</f>
        <v/>
      </c>
      <c r="H49" s="21">
        <f>SUMIFS(tblCashFlows[Contribution Amount],tblCashFlows[Entity],"Kat Trust",tblCashFlows[Transaction Date],"&gt;="&amp;A49,tblCashFlows[Transaction Date],"&lt;"&amp;EDATE(A49,1))</f>
        <v/>
      </c>
      <c r="I49" s="21">
        <f>SUMIFS(tblCashFlows[Distribution Amount],tblCashFlows[Entity],"Kat Trust",tblCashFlows[Transaction Date],"&gt;="&amp;A49,tblCashFlows[Transaction Date],"&lt;"&amp;EDATE(A49,1))</f>
        <v/>
      </c>
      <c r="J49" s="21">
        <f>I49-H49</f>
        <v/>
      </c>
      <c r="K49" s="21">
        <f>SUMIFS(tblCashFlows[Contribution Amount],tblCashFlows[Entity],"Nat Trust",tblCashFlows[Transaction Date],"&gt;="&amp;A49,tblCashFlows[Transaction Date],"&lt;"&amp;EDATE(A49,1))</f>
        <v/>
      </c>
      <c r="L49" s="21">
        <f>SUMIFS(tblCashFlows[Distribution Amount],tblCashFlows[Entity],"Nat Trust",tblCashFlows[Transaction Date],"&gt;="&amp;A49,tblCashFlows[Transaction Date],"&lt;"&amp;EDATE(A49,1))</f>
        <v/>
      </c>
      <c r="M49" s="21">
        <f>L49-K49</f>
        <v/>
      </c>
      <c r="N49" s="21">
        <f>SUM(B49,E49,H49,K49)</f>
        <v/>
      </c>
      <c r="O49" s="21">
        <f>SUM(C49,F49,I49,L49)</f>
        <v/>
      </c>
      <c r="P49" s="21">
        <f>O49-N49</f>
        <v/>
      </c>
    </row>
    <row r="50">
      <c r="A50" s="26" t="n">
        <v>44593</v>
      </c>
      <c r="B50" s="21">
        <f>SUMIFS(tblCashFlows[Contribution Amount],tblCashFlows[Entity],"Beaman Ventures",tblCashFlows[Transaction Date],"&gt;="&amp;A50,tblCashFlows[Transaction Date],"&lt;"&amp;EDATE(A50,1))</f>
        <v/>
      </c>
      <c r="C50" s="21">
        <f>SUMIFS(tblCashFlows[Distribution Amount],tblCashFlows[Entity],"Beaman Ventures",tblCashFlows[Transaction Date],"&gt;="&amp;A50,tblCashFlows[Transaction Date],"&lt;"&amp;EDATE(A50,1))</f>
        <v/>
      </c>
      <c r="D50" s="21">
        <f>C50-B50</f>
        <v/>
      </c>
      <c r="E50" s="21">
        <f>SUMIFS(tblCashFlows[Contribution Amount],tblCashFlows[Entity],"Lee Beaman",tblCashFlows[Transaction Date],"&gt;="&amp;A50,tblCashFlows[Transaction Date],"&lt;"&amp;EDATE(A50,1))</f>
        <v/>
      </c>
      <c r="F50" s="21">
        <f>SUMIFS(tblCashFlows[Distribution Amount],tblCashFlows[Entity],"Lee Beaman",tblCashFlows[Transaction Date],"&gt;="&amp;A50,tblCashFlows[Transaction Date],"&lt;"&amp;EDATE(A50,1))</f>
        <v/>
      </c>
      <c r="G50" s="21">
        <f>F50-E50</f>
        <v/>
      </c>
      <c r="H50" s="21">
        <f>SUMIFS(tblCashFlows[Contribution Amount],tblCashFlows[Entity],"Kat Trust",tblCashFlows[Transaction Date],"&gt;="&amp;A50,tblCashFlows[Transaction Date],"&lt;"&amp;EDATE(A50,1))</f>
        <v/>
      </c>
      <c r="I50" s="21">
        <f>SUMIFS(tblCashFlows[Distribution Amount],tblCashFlows[Entity],"Kat Trust",tblCashFlows[Transaction Date],"&gt;="&amp;A50,tblCashFlows[Transaction Date],"&lt;"&amp;EDATE(A50,1))</f>
        <v/>
      </c>
      <c r="J50" s="21">
        <f>I50-H50</f>
        <v/>
      </c>
      <c r="K50" s="21">
        <f>SUMIFS(tblCashFlows[Contribution Amount],tblCashFlows[Entity],"Nat Trust",tblCashFlows[Transaction Date],"&gt;="&amp;A50,tblCashFlows[Transaction Date],"&lt;"&amp;EDATE(A50,1))</f>
        <v/>
      </c>
      <c r="L50" s="21">
        <f>SUMIFS(tblCashFlows[Distribution Amount],tblCashFlows[Entity],"Nat Trust",tblCashFlows[Transaction Date],"&gt;="&amp;A50,tblCashFlows[Transaction Date],"&lt;"&amp;EDATE(A50,1))</f>
        <v/>
      </c>
      <c r="M50" s="21">
        <f>L50-K50</f>
        <v/>
      </c>
      <c r="N50" s="21">
        <f>SUM(B50,E50,H50,K50)</f>
        <v/>
      </c>
      <c r="O50" s="21">
        <f>SUM(C50,F50,I50,L50)</f>
        <v/>
      </c>
      <c r="P50" s="21">
        <f>O50-N50</f>
        <v/>
      </c>
    </row>
    <row r="51">
      <c r="A51" s="26" t="n">
        <v>44621</v>
      </c>
      <c r="B51" s="21">
        <f>SUMIFS(tblCashFlows[Contribution Amount],tblCashFlows[Entity],"Beaman Ventures",tblCashFlows[Transaction Date],"&gt;="&amp;A51,tblCashFlows[Transaction Date],"&lt;"&amp;EDATE(A51,1))</f>
        <v/>
      </c>
      <c r="C51" s="21">
        <f>SUMIFS(tblCashFlows[Distribution Amount],tblCashFlows[Entity],"Beaman Ventures",tblCashFlows[Transaction Date],"&gt;="&amp;A51,tblCashFlows[Transaction Date],"&lt;"&amp;EDATE(A51,1))</f>
        <v/>
      </c>
      <c r="D51" s="21">
        <f>C51-B51</f>
        <v/>
      </c>
      <c r="E51" s="21">
        <f>SUMIFS(tblCashFlows[Contribution Amount],tblCashFlows[Entity],"Lee Beaman",tblCashFlows[Transaction Date],"&gt;="&amp;A51,tblCashFlows[Transaction Date],"&lt;"&amp;EDATE(A51,1))</f>
        <v/>
      </c>
      <c r="F51" s="21">
        <f>SUMIFS(tblCashFlows[Distribution Amount],tblCashFlows[Entity],"Lee Beaman",tblCashFlows[Transaction Date],"&gt;="&amp;A51,tblCashFlows[Transaction Date],"&lt;"&amp;EDATE(A51,1))</f>
        <v/>
      </c>
      <c r="G51" s="21">
        <f>F51-E51</f>
        <v/>
      </c>
      <c r="H51" s="21">
        <f>SUMIFS(tblCashFlows[Contribution Amount],tblCashFlows[Entity],"Kat Trust",tblCashFlows[Transaction Date],"&gt;="&amp;A51,tblCashFlows[Transaction Date],"&lt;"&amp;EDATE(A51,1))</f>
        <v/>
      </c>
      <c r="I51" s="21">
        <f>SUMIFS(tblCashFlows[Distribution Amount],tblCashFlows[Entity],"Kat Trust",tblCashFlows[Transaction Date],"&gt;="&amp;A51,tblCashFlows[Transaction Date],"&lt;"&amp;EDATE(A51,1))</f>
        <v/>
      </c>
      <c r="J51" s="21">
        <f>I51-H51</f>
        <v/>
      </c>
      <c r="K51" s="21">
        <f>SUMIFS(tblCashFlows[Contribution Amount],tblCashFlows[Entity],"Nat Trust",tblCashFlows[Transaction Date],"&gt;="&amp;A51,tblCashFlows[Transaction Date],"&lt;"&amp;EDATE(A51,1))</f>
        <v/>
      </c>
      <c r="L51" s="21">
        <f>SUMIFS(tblCashFlows[Distribution Amount],tblCashFlows[Entity],"Nat Trust",tblCashFlows[Transaction Date],"&gt;="&amp;A51,tblCashFlows[Transaction Date],"&lt;"&amp;EDATE(A51,1))</f>
        <v/>
      </c>
      <c r="M51" s="21">
        <f>L51-K51</f>
        <v/>
      </c>
      <c r="N51" s="21">
        <f>SUM(B51,E51,H51,K51)</f>
        <v/>
      </c>
      <c r="O51" s="21">
        <f>SUM(C51,F51,I51,L51)</f>
        <v/>
      </c>
      <c r="P51" s="21">
        <f>O51-N51</f>
        <v/>
      </c>
    </row>
    <row r="52">
      <c r="A52" s="26" t="n">
        <v>44652</v>
      </c>
      <c r="B52" s="21">
        <f>SUMIFS(tblCashFlows[Contribution Amount],tblCashFlows[Entity],"Beaman Ventures",tblCashFlows[Transaction Date],"&gt;="&amp;A52,tblCashFlows[Transaction Date],"&lt;"&amp;EDATE(A52,1))</f>
        <v/>
      </c>
      <c r="C52" s="21">
        <f>SUMIFS(tblCashFlows[Distribution Amount],tblCashFlows[Entity],"Beaman Ventures",tblCashFlows[Transaction Date],"&gt;="&amp;A52,tblCashFlows[Transaction Date],"&lt;"&amp;EDATE(A52,1))</f>
        <v/>
      </c>
      <c r="D52" s="21">
        <f>C52-B52</f>
        <v/>
      </c>
      <c r="E52" s="21">
        <f>SUMIFS(tblCashFlows[Contribution Amount],tblCashFlows[Entity],"Lee Beaman",tblCashFlows[Transaction Date],"&gt;="&amp;A52,tblCashFlows[Transaction Date],"&lt;"&amp;EDATE(A52,1))</f>
        <v/>
      </c>
      <c r="F52" s="21">
        <f>SUMIFS(tblCashFlows[Distribution Amount],tblCashFlows[Entity],"Lee Beaman",tblCashFlows[Transaction Date],"&gt;="&amp;A52,tblCashFlows[Transaction Date],"&lt;"&amp;EDATE(A52,1))</f>
        <v/>
      </c>
      <c r="G52" s="21">
        <f>F52-E52</f>
        <v/>
      </c>
      <c r="H52" s="21">
        <f>SUMIFS(tblCashFlows[Contribution Amount],tblCashFlows[Entity],"Kat Trust",tblCashFlows[Transaction Date],"&gt;="&amp;A52,tblCashFlows[Transaction Date],"&lt;"&amp;EDATE(A52,1))</f>
        <v/>
      </c>
      <c r="I52" s="21">
        <f>SUMIFS(tblCashFlows[Distribution Amount],tblCashFlows[Entity],"Kat Trust",tblCashFlows[Transaction Date],"&gt;="&amp;A52,tblCashFlows[Transaction Date],"&lt;"&amp;EDATE(A52,1))</f>
        <v/>
      </c>
      <c r="J52" s="21">
        <f>I52-H52</f>
        <v/>
      </c>
      <c r="K52" s="21">
        <f>SUMIFS(tblCashFlows[Contribution Amount],tblCashFlows[Entity],"Nat Trust",tblCashFlows[Transaction Date],"&gt;="&amp;A52,tblCashFlows[Transaction Date],"&lt;"&amp;EDATE(A52,1))</f>
        <v/>
      </c>
      <c r="L52" s="21">
        <f>SUMIFS(tblCashFlows[Distribution Amount],tblCashFlows[Entity],"Nat Trust",tblCashFlows[Transaction Date],"&gt;="&amp;A52,tblCashFlows[Transaction Date],"&lt;"&amp;EDATE(A52,1))</f>
        <v/>
      </c>
      <c r="M52" s="21">
        <f>L52-K52</f>
        <v/>
      </c>
      <c r="N52" s="21">
        <f>SUM(B52,E52,H52,K52)</f>
        <v/>
      </c>
      <c r="O52" s="21">
        <f>SUM(C52,F52,I52,L52)</f>
        <v/>
      </c>
      <c r="P52" s="21">
        <f>O52-N52</f>
        <v/>
      </c>
    </row>
    <row r="53">
      <c r="A53" s="26" t="n">
        <v>44682</v>
      </c>
      <c r="B53" s="21">
        <f>SUMIFS(tblCashFlows[Contribution Amount],tblCashFlows[Entity],"Beaman Ventures",tblCashFlows[Transaction Date],"&gt;="&amp;A53,tblCashFlows[Transaction Date],"&lt;"&amp;EDATE(A53,1))</f>
        <v/>
      </c>
      <c r="C53" s="21">
        <f>SUMIFS(tblCashFlows[Distribution Amount],tblCashFlows[Entity],"Beaman Ventures",tblCashFlows[Transaction Date],"&gt;="&amp;A53,tblCashFlows[Transaction Date],"&lt;"&amp;EDATE(A53,1))</f>
        <v/>
      </c>
      <c r="D53" s="21">
        <f>C53-B53</f>
        <v/>
      </c>
      <c r="E53" s="21">
        <f>SUMIFS(tblCashFlows[Contribution Amount],tblCashFlows[Entity],"Lee Beaman",tblCashFlows[Transaction Date],"&gt;="&amp;A53,tblCashFlows[Transaction Date],"&lt;"&amp;EDATE(A53,1))</f>
        <v/>
      </c>
      <c r="F53" s="21">
        <f>SUMIFS(tblCashFlows[Distribution Amount],tblCashFlows[Entity],"Lee Beaman",tblCashFlows[Transaction Date],"&gt;="&amp;A53,tblCashFlows[Transaction Date],"&lt;"&amp;EDATE(A53,1))</f>
        <v/>
      </c>
      <c r="G53" s="21">
        <f>F53-E53</f>
        <v/>
      </c>
      <c r="H53" s="21">
        <f>SUMIFS(tblCashFlows[Contribution Amount],tblCashFlows[Entity],"Kat Trust",tblCashFlows[Transaction Date],"&gt;="&amp;A53,tblCashFlows[Transaction Date],"&lt;"&amp;EDATE(A53,1))</f>
        <v/>
      </c>
      <c r="I53" s="21">
        <f>SUMIFS(tblCashFlows[Distribution Amount],tblCashFlows[Entity],"Kat Trust",tblCashFlows[Transaction Date],"&gt;="&amp;A53,tblCashFlows[Transaction Date],"&lt;"&amp;EDATE(A53,1))</f>
        <v/>
      </c>
      <c r="J53" s="21">
        <f>I53-H53</f>
        <v/>
      </c>
      <c r="K53" s="21">
        <f>SUMIFS(tblCashFlows[Contribution Amount],tblCashFlows[Entity],"Nat Trust",tblCashFlows[Transaction Date],"&gt;="&amp;A53,tblCashFlows[Transaction Date],"&lt;"&amp;EDATE(A53,1))</f>
        <v/>
      </c>
      <c r="L53" s="21">
        <f>SUMIFS(tblCashFlows[Distribution Amount],tblCashFlows[Entity],"Nat Trust",tblCashFlows[Transaction Date],"&gt;="&amp;A53,tblCashFlows[Transaction Date],"&lt;"&amp;EDATE(A53,1))</f>
        <v/>
      </c>
      <c r="M53" s="21">
        <f>L53-K53</f>
        <v/>
      </c>
      <c r="N53" s="21">
        <f>SUM(B53,E53,H53,K53)</f>
        <v/>
      </c>
      <c r="O53" s="21">
        <f>SUM(C53,F53,I53,L53)</f>
        <v/>
      </c>
      <c r="P53" s="21">
        <f>O53-N53</f>
        <v/>
      </c>
    </row>
    <row r="54">
      <c r="A54" s="26" t="n">
        <v>44713</v>
      </c>
      <c r="B54" s="21">
        <f>SUMIFS(tblCashFlows[Contribution Amount],tblCashFlows[Entity],"Beaman Ventures",tblCashFlows[Transaction Date],"&gt;="&amp;A54,tblCashFlows[Transaction Date],"&lt;"&amp;EDATE(A54,1))</f>
        <v/>
      </c>
      <c r="C54" s="21">
        <f>SUMIFS(tblCashFlows[Distribution Amount],tblCashFlows[Entity],"Beaman Ventures",tblCashFlows[Transaction Date],"&gt;="&amp;A54,tblCashFlows[Transaction Date],"&lt;"&amp;EDATE(A54,1))</f>
        <v/>
      </c>
      <c r="D54" s="21">
        <f>C54-B54</f>
        <v/>
      </c>
      <c r="E54" s="21">
        <f>SUMIFS(tblCashFlows[Contribution Amount],tblCashFlows[Entity],"Lee Beaman",tblCashFlows[Transaction Date],"&gt;="&amp;A54,tblCashFlows[Transaction Date],"&lt;"&amp;EDATE(A54,1))</f>
        <v/>
      </c>
      <c r="F54" s="21">
        <f>SUMIFS(tblCashFlows[Distribution Amount],tblCashFlows[Entity],"Lee Beaman",tblCashFlows[Transaction Date],"&gt;="&amp;A54,tblCashFlows[Transaction Date],"&lt;"&amp;EDATE(A54,1))</f>
        <v/>
      </c>
      <c r="G54" s="21">
        <f>F54-E54</f>
        <v/>
      </c>
      <c r="H54" s="21">
        <f>SUMIFS(tblCashFlows[Contribution Amount],tblCashFlows[Entity],"Kat Trust",tblCashFlows[Transaction Date],"&gt;="&amp;A54,tblCashFlows[Transaction Date],"&lt;"&amp;EDATE(A54,1))</f>
        <v/>
      </c>
      <c r="I54" s="21">
        <f>SUMIFS(tblCashFlows[Distribution Amount],tblCashFlows[Entity],"Kat Trust",tblCashFlows[Transaction Date],"&gt;="&amp;A54,tblCashFlows[Transaction Date],"&lt;"&amp;EDATE(A54,1))</f>
        <v/>
      </c>
      <c r="J54" s="21">
        <f>I54-H54</f>
        <v/>
      </c>
      <c r="K54" s="21">
        <f>SUMIFS(tblCashFlows[Contribution Amount],tblCashFlows[Entity],"Nat Trust",tblCashFlows[Transaction Date],"&gt;="&amp;A54,tblCashFlows[Transaction Date],"&lt;"&amp;EDATE(A54,1))</f>
        <v/>
      </c>
      <c r="L54" s="21">
        <f>SUMIFS(tblCashFlows[Distribution Amount],tblCashFlows[Entity],"Nat Trust",tblCashFlows[Transaction Date],"&gt;="&amp;A54,tblCashFlows[Transaction Date],"&lt;"&amp;EDATE(A54,1))</f>
        <v/>
      </c>
      <c r="M54" s="21">
        <f>L54-K54</f>
        <v/>
      </c>
      <c r="N54" s="21">
        <f>SUM(B54,E54,H54,K54)</f>
        <v/>
      </c>
      <c r="O54" s="21">
        <f>SUM(C54,F54,I54,L54)</f>
        <v/>
      </c>
      <c r="P54" s="21">
        <f>O54-N54</f>
        <v/>
      </c>
    </row>
    <row r="55">
      <c r="A55" s="26" t="n">
        <v>44743</v>
      </c>
      <c r="B55" s="21">
        <f>SUMIFS(tblCashFlows[Contribution Amount],tblCashFlows[Entity],"Beaman Ventures",tblCashFlows[Transaction Date],"&gt;="&amp;A55,tblCashFlows[Transaction Date],"&lt;"&amp;EDATE(A55,1))</f>
        <v/>
      </c>
      <c r="C55" s="21">
        <f>SUMIFS(tblCashFlows[Distribution Amount],tblCashFlows[Entity],"Beaman Ventures",tblCashFlows[Transaction Date],"&gt;="&amp;A55,tblCashFlows[Transaction Date],"&lt;"&amp;EDATE(A55,1))</f>
        <v/>
      </c>
      <c r="D55" s="21">
        <f>C55-B55</f>
        <v/>
      </c>
      <c r="E55" s="21">
        <f>SUMIFS(tblCashFlows[Contribution Amount],tblCashFlows[Entity],"Lee Beaman",tblCashFlows[Transaction Date],"&gt;="&amp;A55,tblCashFlows[Transaction Date],"&lt;"&amp;EDATE(A55,1))</f>
        <v/>
      </c>
      <c r="F55" s="21">
        <f>SUMIFS(tblCashFlows[Distribution Amount],tblCashFlows[Entity],"Lee Beaman",tblCashFlows[Transaction Date],"&gt;="&amp;A55,tblCashFlows[Transaction Date],"&lt;"&amp;EDATE(A55,1))</f>
        <v/>
      </c>
      <c r="G55" s="21">
        <f>F55-E55</f>
        <v/>
      </c>
      <c r="H55" s="21">
        <f>SUMIFS(tblCashFlows[Contribution Amount],tblCashFlows[Entity],"Kat Trust",tblCashFlows[Transaction Date],"&gt;="&amp;A55,tblCashFlows[Transaction Date],"&lt;"&amp;EDATE(A55,1))</f>
        <v/>
      </c>
      <c r="I55" s="21">
        <f>SUMIFS(tblCashFlows[Distribution Amount],tblCashFlows[Entity],"Kat Trust",tblCashFlows[Transaction Date],"&gt;="&amp;A55,tblCashFlows[Transaction Date],"&lt;"&amp;EDATE(A55,1))</f>
        <v/>
      </c>
      <c r="J55" s="21">
        <f>I55-H55</f>
        <v/>
      </c>
      <c r="K55" s="21">
        <f>SUMIFS(tblCashFlows[Contribution Amount],tblCashFlows[Entity],"Nat Trust",tblCashFlows[Transaction Date],"&gt;="&amp;A55,tblCashFlows[Transaction Date],"&lt;"&amp;EDATE(A55,1))</f>
        <v/>
      </c>
      <c r="L55" s="21">
        <f>SUMIFS(tblCashFlows[Distribution Amount],tblCashFlows[Entity],"Nat Trust",tblCashFlows[Transaction Date],"&gt;="&amp;A55,tblCashFlows[Transaction Date],"&lt;"&amp;EDATE(A55,1))</f>
        <v/>
      </c>
      <c r="M55" s="21">
        <f>L55-K55</f>
        <v/>
      </c>
      <c r="N55" s="21">
        <f>SUM(B55,E55,H55,K55)</f>
        <v/>
      </c>
      <c r="O55" s="21">
        <f>SUM(C55,F55,I55,L55)</f>
        <v/>
      </c>
      <c r="P55" s="21">
        <f>O55-N55</f>
        <v/>
      </c>
    </row>
    <row r="56">
      <c r="A56" s="26" t="n">
        <v>44774</v>
      </c>
      <c r="B56" s="21">
        <f>SUMIFS(tblCashFlows[Contribution Amount],tblCashFlows[Entity],"Beaman Ventures",tblCashFlows[Transaction Date],"&gt;="&amp;A56,tblCashFlows[Transaction Date],"&lt;"&amp;EDATE(A56,1))</f>
        <v/>
      </c>
      <c r="C56" s="21">
        <f>SUMIFS(tblCashFlows[Distribution Amount],tblCashFlows[Entity],"Beaman Ventures",tblCashFlows[Transaction Date],"&gt;="&amp;A56,tblCashFlows[Transaction Date],"&lt;"&amp;EDATE(A56,1))</f>
        <v/>
      </c>
      <c r="D56" s="21">
        <f>C56-B56</f>
        <v/>
      </c>
      <c r="E56" s="21">
        <f>SUMIFS(tblCashFlows[Contribution Amount],tblCashFlows[Entity],"Lee Beaman",tblCashFlows[Transaction Date],"&gt;="&amp;A56,tblCashFlows[Transaction Date],"&lt;"&amp;EDATE(A56,1))</f>
        <v/>
      </c>
      <c r="F56" s="21">
        <f>SUMIFS(tblCashFlows[Distribution Amount],tblCashFlows[Entity],"Lee Beaman",tblCashFlows[Transaction Date],"&gt;="&amp;A56,tblCashFlows[Transaction Date],"&lt;"&amp;EDATE(A56,1))</f>
        <v/>
      </c>
      <c r="G56" s="21">
        <f>F56-E56</f>
        <v/>
      </c>
      <c r="H56" s="21">
        <f>SUMIFS(tblCashFlows[Contribution Amount],tblCashFlows[Entity],"Kat Trust",tblCashFlows[Transaction Date],"&gt;="&amp;A56,tblCashFlows[Transaction Date],"&lt;"&amp;EDATE(A56,1))</f>
        <v/>
      </c>
      <c r="I56" s="21">
        <f>SUMIFS(tblCashFlows[Distribution Amount],tblCashFlows[Entity],"Kat Trust",tblCashFlows[Transaction Date],"&gt;="&amp;A56,tblCashFlows[Transaction Date],"&lt;"&amp;EDATE(A56,1))</f>
        <v/>
      </c>
      <c r="J56" s="21">
        <f>I56-H56</f>
        <v/>
      </c>
      <c r="K56" s="21">
        <f>SUMIFS(tblCashFlows[Contribution Amount],tblCashFlows[Entity],"Nat Trust",tblCashFlows[Transaction Date],"&gt;="&amp;A56,tblCashFlows[Transaction Date],"&lt;"&amp;EDATE(A56,1))</f>
        <v/>
      </c>
      <c r="L56" s="21">
        <f>SUMIFS(tblCashFlows[Distribution Amount],tblCashFlows[Entity],"Nat Trust",tblCashFlows[Transaction Date],"&gt;="&amp;A56,tblCashFlows[Transaction Date],"&lt;"&amp;EDATE(A56,1))</f>
        <v/>
      </c>
      <c r="M56" s="21">
        <f>L56-K56</f>
        <v/>
      </c>
      <c r="N56" s="21">
        <f>SUM(B56,E56,H56,K56)</f>
        <v/>
      </c>
      <c r="O56" s="21">
        <f>SUM(C56,F56,I56,L56)</f>
        <v/>
      </c>
      <c r="P56" s="21">
        <f>O56-N56</f>
        <v/>
      </c>
    </row>
    <row r="57">
      <c r="A57" s="26" t="n">
        <v>44805</v>
      </c>
      <c r="B57" s="21">
        <f>SUMIFS(tblCashFlows[Contribution Amount],tblCashFlows[Entity],"Beaman Ventures",tblCashFlows[Transaction Date],"&gt;="&amp;A57,tblCashFlows[Transaction Date],"&lt;"&amp;EDATE(A57,1))</f>
        <v/>
      </c>
      <c r="C57" s="21">
        <f>SUMIFS(tblCashFlows[Distribution Amount],tblCashFlows[Entity],"Beaman Ventures",tblCashFlows[Transaction Date],"&gt;="&amp;A57,tblCashFlows[Transaction Date],"&lt;"&amp;EDATE(A57,1))</f>
        <v/>
      </c>
      <c r="D57" s="21">
        <f>C57-B57</f>
        <v/>
      </c>
      <c r="E57" s="21">
        <f>SUMIFS(tblCashFlows[Contribution Amount],tblCashFlows[Entity],"Lee Beaman",tblCashFlows[Transaction Date],"&gt;="&amp;A57,tblCashFlows[Transaction Date],"&lt;"&amp;EDATE(A57,1))</f>
        <v/>
      </c>
      <c r="F57" s="21">
        <f>SUMIFS(tblCashFlows[Distribution Amount],tblCashFlows[Entity],"Lee Beaman",tblCashFlows[Transaction Date],"&gt;="&amp;A57,tblCashFlows[Transaction Date],"&lt;"&amp;EDATE(A57,1))</f>
        <v/>
      </c>
      <c r="G57" s="21">
        <f>F57-E57</f>
        <v/>
      </c>
      <c r="H57" s="21">
        <f>SUMIFS(tblCashFlows[Contribution Amount],tblCashFlows[Entity],"Kat Trust",tblCashFlows[Transaction Date],"&gt;="&amp;A57,tblCashFlows[Transaction Date],"&lt;"&amp;EDATE(A57,1))</f>
        <v/>
      </c>
      <c r="I57" s="21">
        <f>SUMIFS(tblCashFlows[Distribution Amount],tblCashFlows[Entity],"Kat Trust",tblCashFlows[Transaction Date],"&gt;="&amp;A57,tblCashFlows[Transaction Date],"&lt;"&amp;EDATE(A57,1))</f>
        <v/>
      </c>
      <c r="J57" s="21">
        <f>I57-H57</f>
        <v/>
      </c>
      <c r="K57" s="21">
        <f>SUMIFS(tblCashFlows[Contribution Amount],tblCashFlows[Entity],"Nat Trust",tblCashFlows[Transaction Date],"&gt;="&amp;A57,tblCashFlows[Transaction Date],"&lt;"&amp;EDATE(A57,1))</f>
        <v/>
      </c>
      <c r="L57" s="21">
        <f>SUMIFS(tblCashFlows[Distribution Amount],tblCashFlows[Entity],"Nat Trust",tblCashFlows[Transaction Date],"&gt;="&amp;A57,tblCashFlows[Transaction Date],"&lt;"&amp;EDATE(A57,1))</f>
        <v/>
      </c>
      <c r="M57" s="21">
        <f>L57-K57</f>
        <v/>
      </c>
      <c r="N57" s="21">
        <f>SUM(B57,E57,H57,K57)</f>
        <v/>
      </c>
      <c r="O57" s="21">
        <f>SUM(C57,F57,I57,L57)</f>
        <v/>
      </c>
      <c r="P57" s="21">
        <f>O57-N57</f>
        <v/>
      </c>
    </row>
    <row r="58">
      <c r="A58" s="26" t="n">
        <v>44835</v>
      </c>
      <c r="B58" s="21">
        <f>SUMIFS(tblCashFlows[Contribution Amount],tblCashFlows[Entity],"Beaman Ventures",tblCashFlows[Transaction Date],"&gt;="&amp;A58,tblCashFlows[Transaction Date],"&lt;"&amp;EDATE(A58,1))</f>
        <v/>
      </c>
      <c r="C58" s="21">
        <f>SUMIFS(tblCashFlows[Distribution Amount],tblCashFlows[Entity],"Beaman Ventures",tblCashFlows[Transaction Date],"&gt;="&amp;A58,tblCashFlows[Transaction Date],"&lt;"&amp;EDATE(A58,1))</f>
        <v/>
      </c>
      <c r="D58" s="21">
        <f>C58-B58</f>
        <v/>
      </c>
      <c r="E58" s="21">
        <f>SUMIFS(tblCashFlows[Contribution Amount],tblCashFlows[Entity],"Lee Beaman",tblCashFlows[Transaction Date],"&gt;="&amp;A58,tblCashFlows[Transaction Date],"&lt;"&amp;EDATE(A58,1))</f>
        <v/>
      </c>
      <c r="F58" s="21">
        <f>SUMIFS(tblCashFlows[Distribution Amount],tblCashFlows[Entity],"Lee Beaman",tblCashFlows[Transaction Date],"&gt;="&amp;A58,tblCashFlows[Transaction Date],"&lt;"&amp;EDATE(A58,1))</f>
        <v/>
      </c>
      <c r="G58" s="21">
        <f>F58-E58</f>
        <v/>
      </c>
      <c r="H58" s="21">
        <f>SUMIFS(tblCashFlows[Contribution Amount],tblCashFlows[Entity],"Kat Trust",tblCashFlows[Transaction Date],"&gt;="&amp;A58,tblCashFlows[Transaction Date],"&lt;"&amp;EDATE(A58,1))</f>
        <v/>
      </c>
      <c r="I58" s="21">
        <f>SUMIFS(tblCashFlows[Distribution Amount],tblCashFlows[Entity],"Kat Trust",tblCashFlows[Transaction Date],"&gt;="&amp;A58,tblCashFlows[Transaction Date],"&lt;"&amp;EDATE(A58,1))</f>
        <v/>
      </c>
      <c r="J58" s="21">
        <f>I58-H58</f>
        <v/>
      </c>
      <c r="K58" s="21">
        <f>SUMIFS(tblCashFlows[Contribution Amount],tblCashFlows[Entity],"Nat Trust",tblCashFlows[Transaction Date],"&gt;="&amp;A58,tblCashFlows[Transaction Date],"&lt;"&amp;EDATE(A58,1))</f>
        <v/>
      </c>
      <c r="L58" s="21">
        <f>SUMIFS(tblCashFlows[Distribution Amount],tblCashFlows[Entity],"Nat Trust",tblCashFlows[Transaction Date],"&gt;="&amp;A58,tblCashFlows[Transaction Date],"&lt;"&amp;EDATE(A58,1))</f>
        <v/>
      </c>
      <c r="M58" s="21">
        <f>L58-K58</f>
        <v/>
      </c>
      <c r="N58" s="21">
        <f>SUM(B58,E58,H58,K58)</f>
        <v/>
      </c>
      <c r="O58" s="21">
        <f>SUM(C58,F58,I58,L58)</f>
        <v/>
      </c>
      <c r="P58" s="21">
        <f>O58-N58</f>
        <v/>
      </c>
    </row>
    <row r="59">
      <c r="A59" s="26" t="n">
        <v>44866</v>
      </c>
      <c r="B59" s="21">
        <f>SUMIFS(tblCashFlows[Contribution Amount],tblCashFlows[Entity],"Beaman Ventures",tblCashFlows[Transaction Date],"&gt;="&amp;A59,tblCashFlows[Transaction Date],"&lt;"&amp;EDATE(A59,1))</f>
        <v/>
      </c>
      <c r="C59" s="21">
        <f>SUMIFS(tblCashFlows[Distribution Amount],tblCashFlows[Entity],"Beaman Ventures",tblCashFlows[Transaction Date],"&gt;="&amp;A59,tblCashFlows[Transaction Date],"&lt;"&amp;EDATE(A59,1))</f>
        <v/>
      </c>
      <c r="D59" s="21">
        <f>C59-B59</f>
        <v/>
      </c>
      <c r="E59" s="21">
        <f>SUMIFS(tblCashFlows[Contribution Amount],tblCashFlows[Entity],"Lee Beaman",tblCashFlows[Transaction Date],"&gt;="&amp;A59,tblCashFlows[Transaction Date],"&lt;"&amp;EDATE(A59,1))</f>
        <v/>
      </c>
      <c r="F59" s="21">
        <f>SUMIFS(tblCashFlows[Distribution Amount],tblCashFlows[Entity],"Lee Beaman",tblCashFlows[Transaction Date],"&gt;="&amp;A59,tblCashFlows[Transaction Date],"&lt;"&amp;EDATE(A59,1))</f>
        <v/>
      </c>
      <c r="G59" s="21">
        <f>F59-E59</f>
        <v/>
      </c>
      <c r="H59" s="21">
        <f>SUMIFS(tblCashFlows[Contribution Amount],tblCashFlows[Entity],"Kat Trust",tblCashFlows[Transaction Date],"&gt;="&amp;A59,tblCashFlows[Transaction Date],"&lt;"&amp;EDATE(A59,1))</f>
        <v/>
      </c>
      <c r="I59" s="21">
        <f>SUMIFS(tblCashFlows[Distribution Amount],tblCashFlows[Entity],"Kat Trust",tblCashFlows[Transaction Date],"&gt;="&amp;A59,tblCashFlows[Transaction Date],"&lt;"&amp;EDATE(A59,1))</f>
        <v/>
      </c>
      <c r="J59" s="21">
        <f>I59-H59</f>
        <v/>
      </c>
      <c r="K59" s="21">
        <f>SUMIFS(tblCashFlows[Contribution Amount],tblCashFlows[Entity],"Nat Trust",tblCashFlows[Transaction Date],"&gt;="&amp;A59,tblCashFlows[Transaction Date],"&lt;"&amp;EDATE(A59,1))</f>
        <v/>
      </c>
      <c r="L59" s="21">
        <f>SUMIFS(tblCashFlows[Distribution Amount],tblCashFlows[Entity],"Nat Trust",tblCashFlows[Transaction Date],"&gt;="&amp;A59,tblCashFlows[Transaction Date],"&lt;"&amp;EDATE(A59,1))</f>
        <v/>
      </c>
      <c r="M59" s="21">
        <f>L59-K59</f>
        <v/>
      </c>
      <c r="N59" s="21">
        <f>SUM(B59,E59,H59,K59)</f>
        <v/>
      </c>
      <c r="O59" s="21">
        <f>SUM(C59,F59,I59,L59)</f>
        <v/>
      </c>
      <c r="P59" s="21">
        <f>O59-N59</f>
        <v/>
      </c>
    </row>
    <row r="60">
      <c r="A60" s="26" t="n">
        <v>44896</v>
      </c>
      <c r="B60" s="21">
        <f>SUMIFS(tblCashFlows[Contribution Amount],tblCashFlows[Entity],"Beaman Ventures",tblCashFlows[Transaction Date],"&gt;="&amp;A60,tblCashFlows[Transaction Date],"&lt;"&amp;EDATE(A60,1))</f>
        <v/>
      </c>
      <c r="C60" s="21">
        <f>SUMIFS(tblCashFlows[Distribution Amount],tblCashFlows[Entity],"Beaman Ventures",tblCashFlows[Transaction Date],"&gt;="&amp;A60,tblCashFlows[Transaction Date],"&lt;"&amp;EDATE(A60,1))</f>
        <v/>
      </c>
      <c r="D60" s="21">
        <f>C60-B60</f>
        <v/>
      </c>
      <c r="E60" s="21">
        <f>SUMIFS(tblCashFlows[Contribution Amount],tblCashFlows[Entity],"Lee Beaman",tblCashFlows[Transaction Date],"&gt;="&amp;A60,tblCashFlows[Transaction Date],"&lt;"&amp;EDATE(A60,1))</f>
        <v/>
      </c>
      <c r="F60" s="21">
        <f>SUMIFS(tblCashFlows[Distribution Amount],tblCashFlows[Entity],"Lee Beaman",tblCashFlows[Transaction Date],"&gt;="&amp;A60,tblCashFlows[Transaction Date],"&lt;"&amp;EDATE(A60,1))</f>
        <v/>
      </c>
      <c r="G60" s="21">
        <f>F60-E60</f>
        <v/>
      </c>
      <c r="H60" s="21">
        <f>SUMIFS(tblCashFlows[Contribution Amount],tblCashFlows[Entity],"Kat Trust",tblCashFlows[Transaction Date],"&gt;="&amp;A60,tblCashFlows[Transaction Date],"&lt;"&amp;EDATE(A60,1))</f>
        <v/>
      </c>
      <c r="I60" s="21">
        <f>SUMIFS(tblCashFlows[Distribution Amount],tblCashFlows[Entity],"Kat Trust",tblCashFlows[Transaction Date],"&gt;="&amp;A60,tblCashFlows[Transaction Date],"&lt;"&amp;EDATE(A60,1))</f>
        <v/>
      </c>
      <c r="J60" s="21">
        <f>I60-H60</f>
        <v/>
      </c>
      <c r="K60" s="21">
        <f>SUMIFS(tblCashFlows[Contribution Amount],tblCashFlows[Entity],"Nat Trust",tblCashFlows[Transaction Date],"&gt;="&amp;A60,tblCashFlows[Transaction Date],"&lt;"&amp;EDATE(A60,1))</f>
        <v/>
      </c>
      <c r="L60" s="21">
        <f>SUMIFS(tblCashFlows[Distribution Amount],tblCashFlows[Entity],"Nat Trust",tblCashFlows[Transaction Date],"&gt;="&amp;A60,tblCashFlows[Transaction Date],"&lt;"&amp;EDATE(A60,1))</f>
        <v/>
      </c>
      <c r="M60" s="21">
        <f>L60-K60</f>
        <v/>
      </c>
      <c r="N60" s="21">
        <f>SUM(B60,E60,H60,K60)</f>
        <v/>
      </c>
      <c r="O60" s="21">
        <f>SUM(C60,F60,I60,L60)</f>
        <v/>
      </c>
      <c r="P60" s="21">
        <f>O60-N60</f>
        <v/>
      </c>
    </row>
    <row r="61">
      <c r="A61" s="26" t="n">
        <v>44927</v>
      </c>
      <c r="B61" s="21">
        <f>SUMIFS(tblCashFlows[Contribution Amount],tblCashFlows[Entity],"Beaman Ventures",tblCashFlows[Transaction Date],"&gt;="&amp;A61,tblCashFlows[Transaction Date],"&lt;"&amp;EDATE(A61,1))</f>
        <v/>
      </c>
      <c r="C61" s="21">
        <f>SUMIFS(tblCashFlows[Distribution Amount],tblCashFlows[Entity],"Beaman Ventures",tblCashFlows[Transaction Date],"&gt;="&amp;A61,tblCashFlows[Transaction Date],"&lt;"&amp;EDATE(A61,1))</f>
        <v/>
      </c>
      <c r="D61" s="21">
        <f>C61-B61</f>
        <v/>
      </c>
      <c r="E61" s="21">
        <f>SUMIFS(tblCashFlows[Contribution Amount],tblCashFlows[Entity],"Lee Beaman",tblCashFlows[Transaction Date],"&gt;="&amp;A61,tblCashFlows[Transaction Date],"&lt;"&amp;EDATE(A61,1))</f>
        <v/>
      </c>
      <c r="F61" s="21">
        <f>SUMIFS(tblCashFlows[Distribution Amount],tblCashFlows[Entity],"Lee Beaman",tblCashFlows[Transaction Date],"&gt;="&amp;A61,tblCashFlows[Transaction Date],"&lt;"&amp;EDATE(A61,1))</f>
        <v/>
      </c>
      <c r="G61" s="21">
        <f>F61-E61</f>
        <v/>
      </c>
      <c r="H61" s="21">
        <f>SUMIFS(tblCashFlows[Contribution Amount],tblCashFlows[Entity],"Kat Trust",tblCashFlows[Transaction Date],"&gt;="&amp;A61,tblCashFlows[Transaction Date],"&lt;"&amp;EDATE(A61,1))</f>
        <v/>
      </c>
      <c r="I61" s="21">
        <f>SUMIFS(tblCashFlows[Distribution Amount],tblCashFlows[Entity],"Kat Trust",tblCashFlows[Transaction Date],"&gt;="&amp;A61,tblCashFlows[Transaction Date],"&lt;"&amp;EDATE(A61,1))</f>
        <v/>
      </c>
      <c r="J61" s="21">
        <f>I61-H61</f>
        <v/>
      </c>
      <c r="K61" s="21">
        <f>SUMIFS(tblCashFlows[Contribution Amount],tblCashFlows[Entity],"Nat Trust",tblCashFlows[Transaction Date],"&gt;="&amp;A61,tblCashFlows[Transaction Date],"&lt;"&amp;EDATE(A61,1))</f>
        <v/>
      </c>
      <c r="L61" s="21">
        <f>SUMIFS(tblCashFlows[Distribution Amount],tblCashFlows[Entity],"Nat Trust",tblCashFlows[Transaction Date],"&gt;="&amp;A61,tblCashFlows[Transaction Date],"&lt;"&amp;EDATE(A61,1))</f>
        <v/>
      </c>
      <c r="M61" s="21">
        <f>L61-K61</f>
        <v/>
      </c>
      <c r="N61" s="21">
        <f>SUM(B61,E61,H61,K61)</f>
        <v/>
      </c>
      <c r="O61" s="21">
        <f>SUM(C61,F61,I61,L61)</f>
        <v/>
      </c>
      <c r="P61" s="21">
        <f>O61-N61</f>
        <v/>
      </c>
    </row>
    <row r="62">
      <c r="A62" s="26" t="n">
        <v>44958</v>
      </c>
      <c r="B62" s="21">
        <f>SUMIFS(tblCashFlows[Contribution Amount],tblCashFlows[Entity],"Beaman Ventures",tblCashFlows[Transaction Date],"&gt;="&amp;A62,tblCashFlows[Transaction Date],"&lt;"&amp;EDATE(A62,1))</f>
        <v/>
      </c>
      <c r="C62" s="21">
        <f>SUMIFS(tblCashFlows[Distribution Amount],tblCashFlows[Entity],"Beaman Ventures",tblCashFlows[Transaction Date],"&gt;="&amp;A62,tblCashFlows[Transaction Date],"&lt;"&amp;EDATE(A62,1))</f>
        <v/>
      </c>
      <c r="D62" s="21">
        <f>C62-B62</f>
        <v/>
      </c>
      <c r="E62" s="21">
        <f>SUMIFS(tblCashFlows[Contribution Amount],tblCashFlows[Entity],"Lee Beaman",tblCashFlows[Transaction Date],"&gt;="&amp;A62,tblCashFlows[Transaction Date],"&lt;"&amp;EDATE(A62,1))</f>
        <v/>
      </c>
      <c r="F62" s="21">
        <f>SUMIFS(tblCashFlows[Distribution Amount],tblCashFlows[Entity],"Lee Beaman",tblCashFlows[Transaction Date],"&gt;="&amp;A62,tblCashFlows[Transaction Date],"&lt;"&amp;EDATE(A62,1))</f>
        <v/>
      </c>
      <c r="G62" s="21">
        <f>F62-E62</f>
        <v/>
      </c>
      <c r="H62" s="21">
        <f>SUMIFS(tblCashFlows[Contribution Amount],tblCashFlows[Entity],"Kat Trust",tblCashFlows[Transaction Date],"&gt;="&amp;A62,tblCashFlows[Transaction Date],"&lt;"&amp;EDATE(A62,1))</f>
        <v/>
      </c>
      <c r="I62" s="21">
        <f>SUMIFS(tblCashFlows[Distribution Amount],tblCashFlows[Entity],"Kat Trust",tblCashFlows[Transaction Date],"&gt;="&amp;A62,tblCashFlows[Transaction Date],"&lt;"&amp;EDATE(A62,1))</f>
        <v/>
      </c>
      <c r="J62" s="21">
        <f>I62-H62</f>
        <v/>
      </c>
      <c r="K62" s="21">
        <f>SUMIFS(tblCashFlows[Contribution Amount],tblCashFlows[Entity],"Nat Trust",tblCashFlows[Transaction Date],"&gt;="&amp;A62,tblCashFlows[Transaction Date],"&lt;"&amp;EDATE(A62,1))</f>
        <v/>
      </c>
      <c r="L62" s="21">
        <f>SUMIFS(tblCashFlows[Distribution Amount],tblCashFlows[Entity],"Nat Trust",tblCashFlows[Transaction Date],"&gt;="&amp;A62,tblCashFlows[Transaction Date],"&lt;"&amp;EDATE(A62,1))</f>
        <v/>
      </c>
      <c r="M62" s="21">
        <f>L62-K62</f>
        <v/>
      </c>
      <c r="N62" s="21">
        <f>SUM(B62,E62,H62,K62)</f>
        <v/>
      </c>
      <c r="O62" s="21">
        <f>SUM(C62,F62,I62,L62)</f>
        <v/>
      </c>
      <c r="P62" s="21">
        <f>O62-N62</f>
        <v/>
      </c>
    </row>
    <row r="63">
      <c r="A63" s="26" t="n">
        <v>44986</v>
      </c>
      <c r="B63" s="21">
        <f>SUMIFS(tblCashFlows[Contribution Amount],tblCashFlows[Entity],"Beaman Ventures",tblCashFlows[Transaction Date],"&gt;="&amp;A63,tblCashFlows[Transaction Date],"&lt;"&amp;EDATE(A63,1))</f>
        <v/>
      </c>
      <c r="C63" s="21">
        <f>SUMIFS(tblCashFlows[Distribution Amount],tblCashFlows[Entity],"Beaman Ventures",tblCashFlows[Transaction Date],"&gt;="&amp;A63,tblCashFlows[Transaction Date],"&lt;"&amp;EDATE(A63,1))</f>
        <v/>
      </c>
      <c r="D63" s="21">
        <f>C63-B63</f>
        <v/>
      </c>
      <c r="E63" s="21">
        <f>SUMIFS(tblCashFlows[Contribution Amount],tblCashFlows[Entity],"Lee Beaman",tblCashFlows[Transaction Date],"&gt;="&amp;A63,tblCashFlows[Transaction Date],"&lt;"&amp;EDATE(A63,1))</f>
        <v/>
      </c>
      <c r="F63" s="21">
        <f>SUMIFS(tblCashFlows[Distribution Amount],tblCashFlows[Entity],"Lee Beaman",tblCashFlows[Transaction Date],"&gt;="&amp;A63,tblCashFlows[Transaction Date],"&lt;"&amp;EDATE(A63,1))</f>
        <v/>
      </c>
      <c r="G63" s="21">
        <f>F63-E63</f>
        <v/>
      </c>
      <c r="H63" s="21">
        <f>SUMIFS(tblCashFlows[Contribution Amount],tblCashFlows[Entity],"Kat Trust",tblCashFlows[Transaction Date],"&gt;="&amp;A63,tblCashFlows[Transaction Date],"&lt;"&amp;EDATE(A63,1))</f>
        <v/>
      </c>
      <c r="I63" s="21">
        <f>SUMIFS(tblCashFlows[Distribution Amount],tblCashFlows[Entity],"Kat Trust",tblCashFlows[Transaction Date],"&gt;="&amp;A63,tblCashFlows[Transaction Date],"&lt;"&amp;EDATE(A63,1))</f>
        <v/>
      </c>
      <c r="J63" s="21">
        <f>I63-H63</f>
        <v/>
      </c>
      <c r="K63" s="21">
        <f>SUMIFS(tblCashFlows[Contribution Amount],tblCashFlows[Entity],"Nat Trust",tblCashFlows[Transaction Date],"&gt;="&amp;A63,tblCashFlows[Transaction Date],"&lt;"&amp;EDATE(A63,1))</f>
        <v/>
      </c>
      <c r="L63" s="21">
        <f>SUMIFS(tblCashFlows[Distribution Amount],tblCashFlows[Entity],"Nat Trust",tblCashFlows[Transaction Date],"&gt;="&amp;A63,tblCashFlows[Transaction Date],"&lt;"&amp;EDATE(A63,1))</f>
        <v/>
      </c>
      <c r="M63" s="21">
        <f>L63-K63</f>
        <v/>
      </c>
      <c r="N63" s="21">
        <f>SUM(B63,E63,H63,K63)</f>
        <v/>
      </c>
      <c r="O63" s="21">
        <f>SUM(C63,F63,I63,L63)</f>
        <v/>
      </c>
      <c r="P63" s="21">
        <f>O63-N63</f>
        <v/>
      </c>
    </row>
    <row r="64">
      <c r="A64" s="26" t="n">
        <v>45017</v>
      </c>
      <c r="B64" s="21">
        <f>SUMIFS(tblCashFlows[Contribution Amount],tblCashFlows[Entity],"Beaman Ventures",tblCashFlows[Transaction Date],"&gt;="&amp;A64,tblCashFlows[Transaction Date],"&lt;"&amp;EDATE(A64,1))</f>
        <v/>
      </c>
      <c r="C64" s="21">
        <f>SUMIFS(tblCashFlows[Distribution Amount],tblCashFlows[Entity],"Beaman Ventures",tblCashFlows[Transaction Date],"&gt;="&amp;A64,tblCashFlows[Transaction Date],"&lt;"&amp;EDATE(A64,1))</f>
        <v/>
      </c>
      <c r="D64" s="21">
        <f>C64-B64</f>
        <v/>
      </c>
      <c r="E64" s="21">
        <f>SUMIFS(tblCashFlows[Contribution Amount],tblCashFlows[Entity],"Lee Beaman",tblCashFlows[Transaction Date],"&gt;="&amp;A64,tblCashFlows[Transaction Date],"&lt;"&amp;EDATE(A64,1))</f>
        <v/>
      </c>
      <c r="F64" s="21">
        <f>SUMIFS(tblCashFlows[Distribution Amount],tblCashFlows[Entity],"Lee Beaman",tblCashFlows[Transaction Date],"&gt;="&amp;A64,tblCashFlows[Transaction Date],"&lt;"&amp;EDATE(A64,1))</f>
        <v/>
      </c>
      <c r="G64" s="21">
        <f>F64-E64</f>
        <v/>
      </c>
      <c r="H64" s="21">
        <f>SUMIFS(tblCashFlows[Contribution Amount],tblCashFlows[Entity],"Kat Trust",tblCashFlows[Transaction Date],"&gt;="&amp;A64,tblCashFlows[Transaction Date],"&lt;"&amp;EDATE(A64,1))</f>
        <v/>
      </c>
      <c r="I64" s="21">
        <f>SUMIFS(tblCashFlows[Distribution Amount],tblCashFlows[Entity],"Kat Trust",tblCashFlows[Transaction Date],"&gt;="&amp;A64,tblCashFlows[Transaction Date],"&lt;"&amp;EDATE(A64,1))</f>
        <v/>
      </c>
      <c r="J64" s="21">
        <f>I64-H64</f>
        <v/>
      </c>
      <c r="K64" s="21">
        <f>SUMIFS(tblCashFlows[Contribution Amount],tblCashFlows[Entity],"Nat Trust",tblCashFlows[Transaction Date],"&gt;="&amp;A64,tblCashFlows[Transaction Date],"&lt;"&amp;EDATE(A64,1))</f>
        <v/>
      </c>
      <c r="L64" s="21">
        <f>SUMIFS(tblCashFlows[Distribution Amount],tblCashFlows[Entity],"Nat Trust",tblCashFlows[Transaction Date],"&gt;="&amp;A64,tblCashFlows[Transaction Date],"&lt;"&amp;EDATE(A64,1))</f>
        <v/>
      </c>
      <c r="M64" s="21">
        <f>L64-K64</f>
        <v/>
      </c>
      <c r="N64" s="21">
        <f>SUM(B64,E64,H64,K64)</f>
        <v/>
      </c>
      <c r="O64" s="21">
        <f>SUM(C64,F64,I64,L64)</f>
        <v/>
      </c>
      <c r="P64" s="21">
        <f>O64-N64</f>
        <v/>
      </c>
    </row>
    <row r="65">
      <c r="A65" s="26" t="n">
        <v>45047</v>
      </c>
      <c r="B65" s="21">
        <f>SUMIFS(tblCashFlows[Contribution Amount],tblCashFlows[Entity],"Beaman Ventures",tblCashFlows[Transaction Date],"&gt;="&amp;A65,tblCashFlows[Transaction Date],"&lt;"&amp;EDATE(A65,1))</f>
        <v/>
      </c>
      <c r="C65" s="21">
        <f>SUMIFS(tblCashFlows[Distribution Amount],tblCashFlows[Entity],"Beaman Ventures",tblCashFlows[Transaction Date],"&gt;="&amp;A65,tblCashFlows[Transaction Date],"&lt;"&amp;EDATE(A65,1))</f>
        <v/>
      </c>
      <c r="D65" s="21">
        <f>C65-B65</f>
        <v/>
      </c>
      <c r="E65" s="21">
        <f>SUMIFS(tblCashFlows[Contribution Amount],tblCashFlows[Entity],"Lee Beaman",tblCashFlows[Transaction Date],"&gt;="&amp;A65,tblCashFlows[Transaction Date],"&lt;"&amp;EDATE(A65,1))</f>
        <v/>
      </c>
      <c r="F65" s="21">
        <f>SUMIFS(tblCashFlows[Distribution Amount],tblCashFlows[Entity],"Lee Beaman",tblCashFlows[Transaction Date],"&gt;="&amp;A65,tblCashFlows[Transaction Date],"&lt;"&amp;EDATE(A65,1))</f>
        <v/>
      </c>
      <c r="G65" s="21">
        <f>F65-E65</f>
        <v/>
      </c>
      <c r="H65" s="21">
        <f>SUMIFS(tblCashFlows[Contribution Amount],tblCashFlows[Entity],"Kat Trust",tblCashFlows[Transaction Date],"&gt;="&amp;A65,tblCashFlows[Transaction Date],"&lt;"&amp;EDATE(A65,1))</f>
        <v/>
      </c>
      <c r="I65" s="21">
        <f>SUMIFS(tblCashFlows[Distribution Amount],tblCashFlows[Entity],"Kat Trust",tblCashFlows[Transaction Date],"&gt;="&amp;A65,tblCashFlows[Transaction Date],"&lt;"&amp;EDATE(A65,1))</f>
        <v/>
      </c>
      <c r="J65" s="21">
        <f>I65-H65</f>
        <v/>
      </c>
      <c r="K65" s="21">
        <f>SUMIFS(tblCashFlows[Contribution Amount],tblCashFlows[Entity],"Nat Trust",tblCashFlows[Transaction Date],"&gt;="&amp;A65,tblCashFlows[Transaction Date],"&lt;"&amp;EDATE(A65,1))</f>
        <v/>
      </c>
      <c r="L65" s="21">
        <f>SUMIFS(tblCashFlows[Distribution Amount],tblCashFlows[Entity],"Nat Trust",tblCashFlows[Transaction Date],"&gt;="&amp;A65,tblCashFlows[Transaction Date],"&lt;"&amp;EDATE(A65,1))</f>
        <v/>
      </c>
      <c r="M65" s="21">
        <f>L65-K65</f>
        <v/>
      </c>
      <c r="N65" s="21">
        <f>SUM(B65,E65,H65,K65)</f>
        <v/>
      </c>
      <c r="O65" s="21">
        <f>SUM(C65,F65,I65,L65)</f>
        <v/>
      </c>
      <c r="P65" s="21">
        <f>O65-N65</f>
        <v/>
      </c>
    </row>
    <row r="66">
      <c r="A66" s="26" t="n">
        <v>45078</v>
      </c>
      <c r="B66" s="21">
        <f>SUMIFS(tblCashFlows[Contribution Amount],tblCashFlows[Entity],"Beaman Ventures",tblCashFlows[Transaction Date],"&gt;="&amp;A66,tblCashFlows[Transaction Date],"&lt;"&amp;EDATE(A66,1))</f>
        <v/>
      </c>
      <c r="C66" s="21">
        <f>SUMIFS(tblCashFlows[Distribution Amount],tblCashFlows[Entity],"Beaman Ventures",tblCashFlows[Transaction Date],"&gt;="&amp;A66,tblCashFlows[Transaction Date],"&lt;"&amp;EDATE(A66,1))</f>
        <v/>
      </c>
      <c r="D66" s="21">
        <f>C66-B66</f>
        <v/>
      </c>
      <c r="E66" s="21">
        <f>SUMIFS(tblCashFlows[Contribution Amount],tblCashFlows[Entity],"Lee Beaman",tblCashFlows[Transaction Date],"&gt;="&amp;A66,tblCashFlows[Transaction Date],"&lt;"&amp;EDATE(A66,1))</f>
        <v/>
      </c>
      <c r="F66" s="21">
        <f>SUMIFS(tblCashFlows[Distribution Amount],tblCashFlows[Entity],"Lee Beaman",tblCashFlows[Transaction Date],"&gt;="&amp;A66,tblCashFlows[Transaction Date],"&lt;"&amp;EDATE(A66,1))</f>
        <v/>
      </c>
      <c r="G66" s="21">
        <f>F66-E66</f>
        <v/>
      </c>
      <c r="H66" s="21">
        <f>SUMIFS(tblCashFlows[Contribution Amount],tblCashFlows[Entity],"Kat Trust",tblCashFlows[Transaction Date],"&gt;="&amp;A66,tblCashFlows[Transaction Date],"&lt;"&amp;EDATE(A66,1))</f>
        <v/>
      </c>
      <c r="I66" s="21">
        <f>SUMIFS(tblCashFlows[Distribution Amount],tblCashFlows[Entity],"Kat Trust",tblCashFlows[Transaction Date],"&gt;="&amp;A66,tblCashFlows[Transaction Date],"&lt;"&amp;EDATE(A66,1))</f>
        <v/>
      </c>
      <c r="J66" s="21">
        <f>I66-H66</f>
        <v/>
      </c>
      <c r="K66" s="21">
        <f>SUMIFS(tblCashFlows[Contribution Amount],tblCashFlows[Entity],"Nat Trust",tblCashFlows[Transaction Date],"&gt;="&amp;A66,tblCashFlows[Transaction Date],"&lt;"&amp;EDATE(A66,1))</f>
        <v/>
      </c>
      <c r="L66" s="21">
        <f>SUMIFS(tblCashFlows[Distribution Amount],tblCashFlows[Entity],"Nat Trust",tblCashFlows[Transaction Date],"&gt;="&amp;A66,tblCashFlows[Transaction Date],"&lt;"&amp;EDATE(A66,1))</f>
        <v/>
      </c>
      <c r="M66" s="21">
        <f>L66-K66</f>
        <v/>
      </c>
      <c r="N66" s="21">
        <f>SUM(B66,E66,H66,K66)</f>
        <v/>
      </c>
      <c r="O66" s="21">
        <f>SUM(C66,F66,I66,L66)</f>
        <v/>
      </c>
      <c r="P66" s="21">
        <f>O66-N66</f>
        <v/>
      </c>
    </row>
    <row r="67">
      <c r="A67" s="26" t="n">
        <v>45108</v>
      </c>
      <c r="B67" s="21">
        <f>SUMIFS(tblCashFlows[Contribution Amount],tblCashFlows[Entity],"Beaman Ventures",tblCashFlows[Transaction Date],"&gt;="&amp;A67,tblCashFlows[Transaction Date],"&lt;"&amp;EDATE(A67,1))</f>
        <v/>
      </c>
      <c r="C67" s="21">
        <f>SUMIFS(tblCashFlows[Distribution Amount],tblCashFlows[Entity],"Beaman Ventures",tblCashFlows[Transaction Date],"&gt;="&amp;A67,tblCashFlows[Transaction Date],"&lt;"&amp;EDATE(A67,1))</f>
        <v/>
      </c>
      <c r="D67" s="21">
        <f>C67-B67</f>
        <v/>
      </c>
      <c r="E67" s="21">
        <f>SUMIFS(tblCashFlows[Contribution Amount],tblCashFlows[Entity],"Lee Beaman",tblCashFlows[Transaction Date],"&gt;="&amp;A67,tblCashFlows[Transaction Date],"&lt;"&amp;EDATE(A67,1))</f>
        <v/>
      </c>
      <c r="F67" s="21">
        <f>SUMIFS(tblCashFlows[Distribution Amount],tblCashFlows[Entity],"Lee Beaman",tblCashFlows[Transaction Date],"&gt;="&amp;A67,tblCashFlows[Transaction Date],"&lt;"&amp;EDATE(A67,1))</f>
        <v/>
      </c>
      <c r="G67" s="21">
        <f>F67-E67</f>
        <v/>
      </c>
      <c r="H67" s="21">
        <f>SUMIFS(tblCashFlows[Contribution Amount],tblCashFlows[Entity],"Kat Trust",tblCashFlows[Transaction Date],"&gt;="&amp;A67,tblCashFlows[Transaction Date],"&lt;"&amp;EDATE(A67,1))</f>
        <v/>
      </c>
      <c r="I67" s="21">
        <f>SUMIFS(tblCashFlows[Distribution Amount],tblCashFlows[Entity],"Kat Trust",tblCashFlows[Transaction Date],"&gt;="&amp;A67,tblCashFlows[Transaction Date],"&lt;"&amp;EDATE(A67,1))</f>
        <v/>
      </c>
      <c r="J67" s="21">
        <f>I67-H67</f>
        <v/>
      </c>
      <c r="K67" s="21">
        <f>SUMIFS(tblCashFlows[Contribution Amount],tblCashFlows[Entity],"Nat Trust",tblCashFlows[Transaction Date],"&gt;="&amp;A67,tblCashFlows[Transaction Date],"&lt;"&amp;EDATE(A67,1))</f>
        <v/>
      </c>
      <c r="L67" s="21">
        <f>SUMIFS(tblCashFlows[Distribution Amount],tblCashFlows[Entity],"Nat Trust",tblCashFlows[Transaction Date],"&gt;="&amp;A67,tblCashFlows[Transaction Date],"&lt;"&amp;EDATE(A67,1))</f>
        <v/>
      </c>
      <c r="M67" s="21">
        <f>L67-K67</f>
        <v/>
      </c>
      <c r="N67" s="21">
        <f>SUM(B67,E67,H67,K67)</f>
        <v/>
      </c>
      <c r="O67" s="21">
        <f>SUM(C67,F67,I67,L67)</f>
        <v/>
      </c>
      <c r="P67" s="21">
        <f>O67-N67</f>
        <v/>
      </c>
    </row>
    <row r="68">
      <c r="A68" s="26" t="n">
        <v>45139</v>
      </c>
      <c r="B68" s="21">
        <f>SUMIFS(tblCashFlows[Contribution Amount],tblCashFlows[Entity],"Beaman Ventures",tblCashFlows[Transaction Date],"&gt;="&amp;A68,tblCashFlows[Transaction Date],"&lt;"&amp;EDATE(A68,1))</f>
        <v/>
      </c>
      <c r="C68" s="21">
        <f>SUMIFS(tblCashFlows[Distribution Amount],tblCashFlows[Entity],"Beaman Ventures",tblCashFlows[Transaction Date],"&gt;="&amp;A68,tblCashFlows[Transaction Date],"&lt;"&amp;EDATE(A68,1))</f>
        <v/>
      </c>
      <c r="D68" s="21">
        <f>C68-B68</f>
        <v/>
      </c>
      <c r="E68" s="21">
        <f>SUMIFS(tblCashFlows[Contribution Amount],tblCashFlows[Entity],"Lee Beaman",tblCashFlows[Transaction Date],"&gt;="&amp;A68,tblCashFlows[Transaction Date],"&lt;"&amp;EDATE(A68,1))</f>
        <v/>
      </c>
      <c r="F68" s="21">
        <f>SUMIFS(tblCashFlows[Distribution Amount],tblCashFlows[Entity],"Lee Beaman",tblCashFlows[Transaction Date],"&gt;="&amp;A68,tblCashFlows[Transaction Date],"&lt;"&amp;EDATE(A68,1))</f>
        <v/>
      </c>
      <c r="G68" s="21">
        <f>F68-E68</f>
        <v/>
      </c>
      <c r="H68" s="21">
        <f>SUMIFS(tblCashFlows[Contribution Amount],tblCashFlows[Entity],"Kat Trust",tblCashFlows[Transaction Date],"&gt;="&amp;A68,tblCashFlows[Transaction Date],"&lt;"&amp;EDATE(A68,1))</f>
        <v/>
      </c>
      <c r="I68" s="21">
        <f>SUMIFS(tblCashFlows[Distribution Amount],tblCashFlows[Entity],"Kat Trust",tblCashFlows[Transaction Date],"&gt;="&amp;A68,tblCashFlows[Transaction Date],"&lt;"&amp;EDATE(A68,1))</f>
        <v/>
      </c>
      <c r="J68" s="21">
        <f>I68-H68</f>
        <v/>
      </c>
      <c r="K68" s="21">
        <f>SUMIFS(tblCashFlows[Contribution Amount],tblCashFlows[Entity],"Nat Trust",tblCashFlows[Transaction Date],"&gt;="&amp;A68,tblCashFlows[Transaction Date],"&lt;"&amp;EDATE(A68,1))</f>
        <v/>
      </c>
      <c r="L68" s="21">
        <f>SUMIFS(tblCashFlows[Distribution Amount],tblCashFlows[Entity],"Nat Trust",tblCashFlows[Transaction Date],"&gt;="&amp;A68,tblCashFlows[Transaction Date],"&lt;"&amp;EDATE(A68,1))</f>
        <v/>
      </c>
      <c r="M68" s="21">
        <f>L68-K68</f>
        <v/>
      </c>
      <c r="N68" s="21">
        <f>SUM(B68,E68,H68,K68)</f>
        <v/>
      </c>
      <c r="O68" s="21">
        <f>SUM(C68,F68,I68,L68)</f>
        <v/>
      </c>
      <c r="P68" s="21">
        <f>O68-N68</f>
        <v/>
      </c>
    </row>
    <row r="69">
      <c r="A69" s="26" t="n">
        <v>45170</v>
      </c>
      <c r="B69" s="21">
        <f>SUMIFS(tblCashFlows[Contribution Amount],tblCashFlows[Entity],"Beaman Ventures",tblCashFlows[Transaction Date],"&gt;="&amp;A69,tblCashFlows[Transaction Date],"&lt;"&amp;EDATE(A69,1))</f>
        <v/>
      </c>
      <c r="C69" s="21">
        <f>SUMIFS(tblCashFlows[Distribution Amount],tblCashFlows[Entity],"Beaman Ventures",tblCashFlows[Transaction Date],"&gt;="&amp;A69,tblCashFlows[Transaction Date],"&lt;"&amp;EDATE(A69,1))</f>
        <v/>
      </c>
      <c r="D69" s="21">
        <f>C69-B69</f>
        <v/>
      </c>
      <c r="E69" s="21">
        <f>SUMIFS(tblCashFlows[Contribution Amount],tblCashFlows[Entity],"Lee Beaman",tblCashFlows[Transaction Date],"&gt;="&amp;A69,tblCashFlows[Transaction Date],"&lt;"&amp;EDATE(A69,1))</f>
        <v/>
      </c>
      <c r="F69" s="21">
        <f>SUMIFS(tblCashFlows[Distribution Amount],tblCashFlows[Entity],"Lee Beaman",tblCashFlows[Transaction Date],"&gt;="&amp;A69,tblCashFlows[Transaction Date],"&lt;"&amp;EDATE(A69,1))</f>
        <v/>
      </c>
      <c r="G69" s="21">
        <f>F69-E69</f>
        <v/>
      </c>
      <c r="H69" s="21">
        <f>SUMIFS(tblCashFlows[Contribution Amount],tblCashFlows[Entity],"Kat Trust",tblCashFlows[Transaction Date],"&gt;="&amp;A69,tblCashFlows[Transaction Date],"&lt;"&amp;EDATE(A69,1))</f>
        <v/>
      </c>
      <c r="I69" s="21">
        <f>SUMIFS(tblCashFlows[Distribution Amount],tblCashFlows[Entity],"Kat Trust",tblCashFlows[Transaction Date],"&gt;="&amp;A69,tblCashFlows[Transaction Date],"&lt;"&amp;EDATE(A69,1))</f>
        <v/>
      </c>
      <c r="J69" s="21">
        <f>I69-H69</f>
        <v/>
      </c>
      <c r="K69" s="21">
        <f>SUMIFS(tblCashFlows[Contribution Amount],tblCashFlows[Entity],"Nat Trust",tblCashFlows[Transaction Date],"&gt;="&amp;A69,tblCashFlows[Transaction Date],"&lt;"&amp;EDATE(A69,1))</f>
        <v/>
      </c>
      <c r="L69" s="21">
        <f>SUMIFS(tblCashFlows[Distribution Amount],tblCashFlows[Entity],"Nat Trust",tblCashFlows[Transaction Date],"&gt;="&amp;A69,tblCashFlows[Transaction Date],"&lt;"&amp;EDATE(A69,1))</f>
        <v/>
      </c>
      <c r="M69" s="21">
        <f>L69-K69</f>
        <v/>
      </c>
      <c r="N69" s="21">
        <f>SUM(B69,E69,H69,K69)</f>
        <v/>
      </c>
      <c r="O69" s="21">
        <f>SUM(C69,F69,I69,L69)</f>
        <v/>
      </c>
      <c r="P69" s="21">
        <f>O69-N69</f>
        <v/>
      </c>
    </row>
    <row r="70">
      <c r="A70" s="26" t="n">
        <v>45200</v>
      </c>
      <c r="B70" s="21">
        <f>SUMIFS(tblCashFlows[Contribution Amount],tblCashFlows[Entity],"Beaman Ventures",tblCashFlows[Transaction Date],"&gt;="&amp;A70,tblCashFlows[Transaction Date],"&lt;"&amp;EDATE(A70,1))</f>
        <v/>
      </c>
      <c r="C70" s="21">
        <f>SUMIFS(tblCashFlows[Distribution Amount],tblCashFlows[Entity],"Beaman Ventures",tblCashFlows[Transaction Date],"&gt;="&amp;A70,tblCashFlows[Transaction Date],"&lt;"&amp;EDATE(A70,1))</f>
        <v/>
      </c>
      <c r="D70" s="21">
        <f>C70-B70</f>
        <v/>
      </c>
      <c r="E70" s="21">
        <f>SUMIFS(tblCashFlows[Contribution Amount],tblCashFlows[Entity],"Lee Beaman",tblCashFlows[Transaction Date],"&gt;="&amp;A70,tblCashFlows[Transaction Date],"&lt;"&amp;EDATE(A70,1))</f>
        <v/>
      </c>
      <c r="F70" s="21">
        <f>SUMIFS(tblCashFlows[Distribution Amount],tblCashFlows[Entity],"Lee Beaman",tblCashFlows[Transaction Date],"&gt;="&amp;A70,tblCashFlows[Transaction Date],"&lt;"&amp;EDATE(A70,1))</f>
        <v/>
      </c>
      <c r="G70" s="21">
        <f>F70-E70</f>
        <v/>
      </c>
      <c r="H70" s="21">
        <f>SUMIFS(tblCashFlows[Contribution Amount],tblCashFlows[Entity],"Kat Trust",tblCashFlows[Transaction Date],"&gt;="&amp;A70,tblCashFlows[Transaction Date],"&lt;"&amp;EDATE(A70,1))</f>
        <v/>
      </c>
      <c r="I70" s="21">
        <f>SUMIFS(tblCashFlows[Distribution Amount],tblCashFlows[Entity],"Kat Trust",tblCashFlows[Transaction Date],"&gt;="&amp;A70,tblCashFlows[Transaction Date],"&lt;"&amp;EDATE(A70,1))</f>
        <v/>
      </c>
      <c r="J70" s="21">
        <f>I70-H70</f>
        <v/>
      </c>
      <c r="K70" s="21">
        <f>SUMIFS(tblCashFlows[Contribution Amount],tblCashFlows[Entity],"Nat Trust",tblCashFlows[Transaction Date],"&gt;="&amp;A70,tblCashFlows[Transaction Date],"&lt;"&amp;EDATE(A70,1))</f>
        <v/>
      </c>
      <c r="L70" s="21">
        <f>SUMIFS(tblCashFlows[Distribution Amount],tblCashFlows[Entity],"Nat Trust",tblCashFlows[Transaction Date],"&gt;="&amp;A70,tblCashFlows[Transaction Date],"&lt;"&amp;EDATE(A70,1))</f>
        <v/>
      </c>
      <c r="M70" s="21">
        <f>L70-K70</f>
        <v/>
      </c>
      <c r="N70" s="21">
        <f>SUM(B70,E70,H70,K70)</f>
        <v/>
      </c>
      <c r="O70" s="21">
        <f>SUM(C70,F70,I70,L70)</f>
        <v/>
      </c>
      <c r="P70" s="21">
        <f>O70-N70</f>
        <v/>
      </c>
    </row>
    <row r="71">
      <c r="A71" s="26" t="n">
        <v>45231</v>
      </c>
      <c r="B71" s="21">
        <f>SUMIFS(tblCashFlows[Contribution Amount],tblCashFlows[Entity],"Beaman Ventures",tblCashFlows[Transaction Date],"&gt;="&amp;A71,tblCashFlows[Transaction Date],"&lt;"&amp;EDATE(A71,1))</f>
        <v/>
      </c>
      <c r="C71" s="21">
        <f>SUMIFS(tblCashFlows[Distribution Amount],tblCashFlows[Entity],"Beaman Ventures",tblCashFlows[Transaction Date],"&gt;="&amp;A71,tblCashFlows[Transaction Date],"&lt;"&amp;EDATE(A71,1))</f>
        <v/>
      </c>
      <c r="D71" s="21">
        <f>C71-B71</f>
        <v/>
      </c>
      <c r="E71" s="21">
        <f>SUMIFS(tblCashFlows[Contribution Amount],tblCashFlows[Entity],"Lee Beaman",tblCashFlows[Transaction Date],"&gt;="&amp;A71,tblCashFlows[Transaction Date],"&lt;"&amp;EDATE(A71,1))</f>
        <v/>
      </c>
      <c r="F71" s="21">
        <f>SUMIFS(tblCashFlows[Distribution Amount],tblCashFlows[Entity],"Lee Beaman",tblCashFlows[Transaction Date],"&gt;="&amp;A71,tblCashFlows[Transaction Date],"&lt;"&amp;EDATE(A71,1))</f>
        <v/>
      </c>
      <c r="G71" s="21">
        <f>F71-E71</f>
        <v/>
      </c>
      <c r="H71" s="21">
        <f>SUMIFS(tblCashFlows[Contribution Amount],tblCashFlows[Entity],"Kat Trust",tblCashFlows[Transaction Date],"&gt;="&amp;A71,tblCashFlows[Transaction Date],"&lt;"&amp;EDATE(A71,1))</f>
        <v/>
      </c>
      <c r="I71" s="21">
        <f>SUMIFS(tblCashFlows[Distribution Amount],tblCashFlows[Entity],"Kat Trust",tblCashFlows[Transaction Date],"&gt;="&amp;A71,tblCashFlows[Transaction Date],"&lt;"&amp;EDATE(A71,1))</f>
        <v/>
      </c>
      <c r="J71" s="21">
        <f>I71-H71</f>
        <v/>
      </c>
      <c r="K71" s="21">
        <f>SUMIFS(tblCashFlows[Contribution Amount],tblCashFlows[Entity],"Nat Trust",tblCashFlows[Transaction Date],"&gt;="&amp;A71,tblCashFlows[Transaction Date],"&lt;"&amp;EDATE(A71,1))</f>
        <v/>
      </c>
      <c r="L71" s="21">
        <f>SUMIFS(tblCashFlows[Distribution Amount],tblCashFlows[Entity],"Nat Trust",tblCashFlows[Transaction Date],"&gt;="&amp;A71,tblCashFlows[Transaction Date],"&lt;"&amp;EDATE(A71,1))</f>
        <v/>
      </c>
      <c r="M71" s="21">
        <f>L71-K71</f>
        <v/>
      </c>
      <c r="N71" s="21">
        <f>SUM(B71,E71,H71,K71)</f>
        <v/>
      </c>
      <c r="O71" s="21">
        <f>SUM(C71,F71,I71,L71)</f>
        <v/>
      </c>
      <c r="P71" s="21">
        <f>O71-N71</f>
        <v/>
      </c>
    </row>
    <row r="72">
      <c r="A72" s="26" t="n">
        <v>45261</v>
      </c>
      <c r="B72" s="21">
        <f>SUMIFS(tblCashFlows[Contribution Amount],tblCashFlows[Entity],"Beaman Ventures",tblCashFlows[Transaction Date],"&gt;="&amp;A72,tblCashFlows[Transaction Date],"&lt;"&amp;EDATE(A72,1))</f>
        <v/>
      </c>
      <c r="C72" s="21">
        <f>SUMIFS(tblCashFlows[Distribution Amount],tblCashFlows[Entity],"Beaman Ventures",tblCashFlows[Transaction Date],"&gt;="&amp;A72,tblCashFlows[Transaction Date],"&lt;"&amp;EDATE(A72,1))</f>
        <v/>
      </c>
      <c r="D72" s="21">
        <f>C72-B72</f>
        <v/>
      </c>
      <c r="E72" s="21">
        <f>SUMIFS(tblCashFlows[Contribution Amount],tblCashFlows[Entity],"Lee Beaman",tblCashFlows[Transaction Date],"&gt;="&amp;A72,tblCashFlows[Transaction Date],"&lt;"&amp;EDATE(A72,1))</f>
        <v/>
      </c>
      <c r="F72" s="21">
        <f>SUMIFS(tblCashFlows[Distribution Amount],tblCashFlows[Entity],"Lee Beaman",tblCashFlows[Transaction Date],"&gt;="&amp;A72,tblCashFlows[Transaction Date],"&lt;"&amp;EDATE(A72,1))</f>
        <v/>
      </c>
      <c r="G72" s="21">
        <f>F72-E72</f>
        <v/>
      </c>
      <c r="H72" s="21">
        <f>SUMIFS(tblCashFlows[Contribution Amount],tblCashFlows[Entity],"Kat Trust",tblCashFlows[Transaction Date],"&gt;="&amp;A72,tblCashFlows[Transaction Date],"&lt;"&amp;EDATE(A72,1))</f>
        <v/>
      </c>
      <c r="I72" s="21">
        <f>SUMIFS(tblCashFlows[Distribution Amount],tblCashFlows[Entity],"Kat Trust",tblCashFlows[Transaction Date],"&gt;="&amp;A72,tblCashFlows[Transaction Date],"&lt;"&amp;EDATE(A72,1))</f>
        <v/>
      </c>
      <c r="J72" s="21">
        <f>I72-H72</f>
        <v/>
      </c>
      <c r="K72" s="21">
        <f>SUMIFS(tblCashFlows[Contribution Amount],tblCashFlows[Entity],"Nat Trust",tblCashFlows[Transaction Date],"&gt;="&amp;A72,tblCashFlows[Transaction Date],"&lt;"&amp;EDATE(A72,1))</f>
        <v/>
      </c>
      <c r="L72" s="21">
        <f>SUMIFS(tblCashFlows[Distribution Amount],tblCashFlows[Entity],"Nat Trust",tblCashFlows[Transaction Date],"&gt;="&amp;A72,tblCashFlows[Transaction Date],"&lt;"&amp;EDATE(A72,1))</f>
        <v/>
      </c>
      <c r="M72" s="21">
        <f>L72-K72</f>
        <v/>
      </c>
      <c r="N72" s="21">
        <f>SUM(B72,E72,H72,K72)</f>
        <v/>
      </c>
      <c r="O72" s="21">
        <f>SUM(C72,F72,I72,L72)</f>
        <v/>
      </c>
      <c r="P72" s="21">
        <f>O72-N72</f>
        <v/>
      </c>
    </row>
    <row r="73">
      <c r="A73" s="26" t="n">
        <v>45292</v>
      </c>
      <c r="B73" s="21">
        <f>SUMIFS(tblCashFlows[Contribution Amount],tblCashFlows[Entity],"Beaman Ventures",tblCashFlows[Transaction Date],"&gt;="&amp;A73,tblCashFlows[Transaction Date],"&lt;"&amp;EDATE(A73,1))</f>
        <v/>
      </c>
      <c r="C73" s="21">
        <f>SUMIFS(tblCashFlows[Distribution Amount],tblCashFlows[Entity],"Beaman Ventures",tblCashFlows[Transaction Date],"&gt;="&amp;A73,tblCashFlows[Transaction Date],"&lt;"&amp;EDATE(A73,1))</f>
        <v/>
      </c>
      <c r="D73" s="21">
        <f>C73-B73</f>
        <v/>
      </c>
      <c r="E73" s="21">
        <f>SUMIFS(tblCashFlows[Contribution Amount],tblCashFlows[Entity],"Lee Beaman",tblCashFlows[Transaction Date],"&gt;="&amp;A73,tblCashFlows[Transaction Date],"&lt;"&amp;EDATE(A73,1))</f>
        <v/>
      </c>
      <c r="F73" s="21">
        <f>SUMIFS(tblCashFlows[Distribution Amount],tblCashFlows[Entity],"Lee Beaman",tblCashFlows[Transaction Date],"&gt;="&amp;A73,tblCashFlows[Transaction Date],"&lt;"&amp;EDATE(A73,1))</f>
        <v/>
      </c>
      <c r="G73" s="21">
        <f>F73-E73</f>
        <v/>
      </c>
      <c r="H73" s="21">
        <f>SUMIFS(tblCashFlows[Contribution Amount],tblCashFlows[Entity],"Kat Trust",tblCashFlows[Transaction Date],"&gt;="&amp;A73,tblCashFlows[Transaction Date],"&lt;"&amp;EDATE(A73,1))</f>
        <v/>
      </c>
      <c r="I73" s="21">
        <f>SUMIFS(tblCashFlows[Distribution Amount],tblCashFlows[Entity],"Kat Trust",tblCashFlows[Transaction Date],"&gt;="&amp;A73,tblCashFlows[Transaction Date],"&lt;"&amp;EDATE(A73,1))</f>
        <v/>
      </c>
      <c r="J73" s="21">
        <f>I73-H73</f>
        <v/>
      </c>
      <c r="K73" s="21">
        <f>SUMIFS(tblCashFlows[Contribution Amount],tblCashFlows[Entity],"Nat Trust",tblCashFlows[Transaction Date],"&gt;="&amp;A73,tblCashFlows[Transaction Date],"&lt;"&amp;EDATE(A73,1))</f>
        <v/>
      </c>
      <c r="L73" s="21">
        <f>SUMIFS(tblCashFlows[Distribution Amount],tblCashFlows[Entity],"Nat Trust",tblCashFlows[Transaction Date],"&gt;="&amp;A73,tblCashFlows[Transaction Date],"&lt;"&amp;EDATE(A73,1))</f>
        <v/>
      </c>
      <c r="M73" s="21">
        <f>L73-K73</f>
        <v/>
      </c>
      <c r="N73" s="21">
        <f>SUM(B73,E73,H73,K73)</f>
        <v/>
      </c>
      <c r="O73" s="21">
        <f>SUM(C73,F73,I73,L73)</f>
        <v/>
      </c>
      <c r="P73" s="21">
        <f>O73-N73</f>
        <v/>
      </c>
    </row>
    <row r="74">
      <c r="A74" s="26" t="n">
        <v>45323</v>
      </c>
      <c r="B74" s="21">
        <f>SUMIFS(tblCashFlows[Contribution Amount],tblCashFlows[Entity],"Beaman Ventures",tblCashFlows[Transaction Date],"&gt;="&amp;A74,tblCashFlows[Transaction Date],"&lt;"&amp;EDATE(A74,1))</f>
        <v/>
      </c>
      <c r="C74" s="21">
        <f>SUMIFS(tblCashFlows[Distribution Amount],tblCashFlows[Entity],"Beaman Ventures",tblCashFlows[Transaction Date],"&gt;="&amp;A74,tblCashFlows[Transaction Date],"&lt;"&amp;EDATE(A74,1))</f>
        <v/>
      </c>
      <c r="D74" s="21">
        <f>C74-B74</f>
        <v/>
      </c>
      <c r="E74" s="21">
        <f>SUMIFS(tblCashFlows[Contribution Amount],tblCashFlows[Entity],"Lee Beaman",tblCashFlows[Transaction Date],"&gt;="&amp;A74,tblCashFlows[Transaction Date],"&lt;"&amp;EDATE(A74,1))</f>
        <v/>
      </c>
      <c r="F74" s="21">
        <f>SUMIFS(tblCashFlows[Distribution Amount],tblCashFlows[Entity],"Lee Beaman",tblCashFlows[Transaction Date],"&gt;="&amp;A74,tblCashFlows[Transaction Date],"&lt;"&amp;EDATE(A74,1))</f>
        <v/>
      </c>
      <c r="G74" s="21">
        <f>F74-E74</f>
        <v/>
      </c>
      <c r="H74" s="21">
        <f>SUMIFS(tblCashFlows[Contribution Amount],tblCashFlows[Entity],"Kat Trust",tblCashFlows[Transaction Date],"&gt;="&amp;A74,tblCashFlows[Transaction Date],"&lt;"&amp;EDATE(A74,1))</f>
        <v/>
      </c>
      <c r="I74" s="21">
        <f>SUMIFS(tblCashFlows[Distribution Amount],tblCashFlows[Entity],"Kat Trust",tblCashFlows[Transaction Date],"&gt;="&amp;A74,tblCashFlows[Transaction Date],"&lt;"&amp;EDATE(A74,1))</f>
        <v/>
      </c>
      <c r="J74" s="21">
        <f>I74-H74</f>
        <v/>
      </c>
      <c r="K74" s="21">
        <f>SUMIFS(tblCashFlows[Contribution Amount],tblCashFlows[Entity],"Nat Trust",tblCashFlows[Transaction Date],"&gt;="&amp;A74,tblCashFlows[Transaction Date],"&lt;"&amp;EDATE(A74,1))</f>
        <v/>
      </c>
      <c r="L74" s="21">
        <f>SUMIFS(tblCashFlows[Distribution Amount],tblCashFlows[Entity],"Nat Trust",tblCashFlows[Transaction Date],"&gt;="&amp;A74,tblCashFlows[Transaction Date],"&lt;"&amp;EDATE(A74,1))</f>
        <v/>
      </c>
      <c r="M74" s="21">
        <f>L74-K74</f>
        <v/>
      </c>
      <c r="N74" s="21">
        <f>SUM(B74,E74,H74,K74)</f>
        <v/>
      </c>
      <c r="O74" s="21">
        <f>SUM(C74,F74,I74,L74)</f>
        <v/>
      </c>
      <c r="P74" s="21">
        <f>O74-N74</f>
        <v/>
      </c>
    </row>
    <row r="75">
      <c r="A75" s="26" t="n">
        <v>45352</v>
      </c>
      <c r="B75" s="21">
        <f>SUMIFS(tblCashFlows[Contribution Amount],tblCashFlows[Entity],"Beaman Ventures",tblCashFlows[Transaction Date],"&gt;="&amp;A75,tblCashFlows[Transaction Date],"&lt;"&amp;EDATE(A75,1))</f>
        <v/>
      </c>
      <c r="C75" s="21">
        <f>SUMIFS(tblCashFlows[Distribution Amount],tblCashFlows[Entity],"Beaman Ventures",tblCashFlows[Transaction Date],"&gt;="&amp;A75,tblCashFlows[Transaction Date],"&lt;"&amp;EDATE(A75,1))</f>
        <v/>
      </c>
      <c r="D75" s="21">
        <f>C75-B75</f>
        <v/>
      </c>
      <c r="E75" s="21">
        <f>SUMIFS(tblCashFlows[Contribution Amount],tblCashFlows[Entity],"Lee Beaman",tblCashFlows[Transaction Date],"&gt;="&amp;A75,tblCashFlows[Transaction Date],"&lt;"&amp;EDATE(A75,1))</f>
        <v/>
      </c>
      <c r="F75" s="21">
        <f>SUMIFS(tblCashFlows[Distribution Amount],tblCashFlows[Entity],"Lee Beaman",tblCashFlows[Transaction Date],"&gt;="&amp;A75,tblCashFlows[Transaction Date],"&lt;"&amp;EDATE(A75,1))</f>
        <v/>
      </c>
      <c r="G75" s="21">
        <f>F75-E75</f>
        <v/>
      </c>
      <c r="H75" s="21">
        <f>SUMIFS(tblCashFlows[Contribution Amount],tblCashFlows[Entity],"Kat Trust",tblCashFlows[Transaction Date],"&gt;="&amp;A75,tblCashFlows[Transaction Date],"&lt;"&amp;EDATE(A75,1))</f>
        <v/>
      </c>
      <c r="I75" s="21">
        <f>SUMIFS(tblCashFlows[Distribution Amount],tblCashFlows[Entity],"Kat Trust",tblCashFlows[Transaction Date],"&gt;="&amp;A75,tblCashFlows[Transaction Date],"&lt;"&amp;EDATE(A75,1))</f>
        <v/>
      </c>
      <c r="J75" s="21">
        <f>I75-H75</f>
        <v/>
      </c>
      <c r="K75" s="21">
        <f>SUMIFS(tblCashFlows[Contribution Amount],tblCashFlows[Entity],"Nat Trust",tblCashFlows[Transaction Date],"&gt;="&amp;A75,tblCashFlows[Transaction Date],"&lt;"&amp;EDATE(A75,1))</f>
        <v/>
      </c>
      <c r="L75" s="21">
        <f>SUMIFS(tblCashFlows[Distribution Amount],tblCashFlows[Entity],"Nat Trust",tblCashFlows[Transaction Date],"&gt;="&amp;A75,tblCashFlows[Transaction Date],"&lt;"&amp;EDATE(A75,1))</f>
        <v/>
      </c>
      <c r="M75" s="21">
        <f>L75-K75</f>
        <v/>
      </c>
      <c r="N75" s="21">
        <f>SUM(B75,E75,H75,K75)</f>
        <v/>
      </c>
      <c r="O75" s="21">
        <f>SUM(C75,F75,I75,L75)</f>
        <v/>
      </c>
      <c r="P75" s="21">
        <f>O75-N75</f>
        <v/>
      </c>
    </row>
    <row r="76">
      <c r="A76" s="26" t="n">
        <v>45383</v>
      </c>
      <c r="B76" s="21">
        <f>SUMIFS(tblCashFlows[Contribution Amount],tblCashFlows[Entity],"Beaman Ventures",tblCashFlows[Transaction Date],"&gt;="&amp;A76,tblCashFlows[Transaction Date],"&lt;"&amp;EDATE(A76,1))</f>
        <v/>
      </c>
      <c r="C76" s="21">
        <f>SUMIFS(tblCashFlows[Distribution Amount],tblCashFlows[Entity],"Beaman Ventures",tblCashFlows[Transaction Date],"&gt;="&amp;A76,tblCashFlows[Transaction Date],"&lt;"&amp;EDATE(A76,1))</f>
        <v/>
      </c>
      <c r="D76" s="21">
        <f>C76-B76</f>
        <v/>
      </c>
      <c r="E76" s="21">
        <f>SUMIFS(tblCashFlows[Contribution Amount],tblCashFlows[Entity],"Lee Beaman",tblCashFlows[Transaction Date],"&gt;="&amp;A76,tblCashFlows[Transaction Date],"&lt;"&amp;EDATE(A76,1))</f>
        <v/>
      </c>
      <c r="F76" s="21">
        <f>SUMIFS(tblCashFlows[Distribution Amount],tblCashFlows[Entity],"Lee Beaman",tblCashFlows[Transaction Date],"&gt;="&amp;A76,tblCashFlows[Transaction Date],"&lt;"&amp;EDATE(A76,1))</f>
        <v/>
      </c>
      <c r="G76" s="21">
        <f>F76-E76</f>
        <v/>
      </c>
      <c r="H76" s="21">
        <f>SUMIFS(tblCashFlows[Contribution Amount],tblCashFlows[Entity],"Kat Trust",tblCashFlows[Transaction Date],"&gt;="&amp;A76,tblCashFlows[Transaction Date],"&lt;"&amp;EDATE(A76,1))</f>
        <v/>
      </c>
      <c r="I76" s="21">
        <f>SUMIFS(tblCashFlows[Distribution Amount],tblCashFlows[Entity],"Kat Trust",tblCashFlows[Transaction Date],"&gt;="&amp;A76,tblCashFlows[Transaction Date],"&lt;"&amp;EDATE(A76,1))</f>
        <v/>
      </c>
      <c r="J76" s="21">
        <f>I76-H76</f>
        <v/>
      </c>
      <c r="K76" s="21">
        <f>SUMIFS(tblCashFlows[Contribution Amount],tblCashFlows[Entity],"Nat Trust",tblCashFlows[Transaction Date],"&gt;="&amp;A76,tblCashFlows[Transaction Date],"&lt;"&amp;EDATE(A76,1))</f>
        <v/>
      </c>
      <c r="L76" s="21">
        <f>SUMIFS(tblCashFlows[Distribution Amount],tblCashFlows[Entity],"Nat Trust",tblCashFlows[Transaction Date],"&gt;="&amp;A76,tblCashFlows[Transaction Date],"&lt;"&amp;EDATE(A76,1))</f>
        <v/>
      </c>
      <c r="M76" s="21">
        <f>L76-K76</f>
        <v/>
      </c>
      <c r="N76" s="21">
        <f>SUM(B76,E76,H76,K76)</f>
        <v/>
      </c>
      <c r="O76" s="21">
        <f>SUM(C76,F76,I76,L76)</f>
        <v/>
      </c>
      <c r="P76" s="21">
        <f>O76-N76</f>
        <v/>
      </c>
    </row>
    <row r="77">
      <c r="A77" s="26" t="n">
        <v>45413</v>
      </c>
      <c r="B77" s="21">
        <f>SUMIFS(tblCashFlows[Contribution Amount],tblCashFlows[Entity],"Beaman Ventures",tblCashFlows[Transaction Date],"&gt;="&amp;A77,tblCashFlows[Transaction Date],"&lt;"&amp;EDATE(A77,1))</f>
        <v/>
      </c>
      <c r="C77" s="21">
        <f>SUMIFS(tblCashFlows[Distribution Amount],tblCashFlows[Entity],"Beaman Ventures",tblCashFlows[Transaction Date],"&gt;="&amp;A77,tblCashFlows[Transaction Date],"&lt;"&amp;EDATE(A77,1))</f>
        <v/>
      </c>
      <c r="D77" s="21">
        <f>C77-B77</f>
        <v/>
      </c>
      <c r="E77" s="21">
        <f>SUMIFS(tblCashFlows[Contribution Amount],tblCashFlows[Entity],"Lee Beaman",tblCashFlows[Transaction Date],"&gt;="&amp;A77,tblCashFlows[Transaction Date],"&lt;"&amp;EDATE(A77,1))</f>
        <v/>
      </c>
      <c r="F77" s="21">
        <f>SUMIFS(tblCashFlows[Distribution Amount],tblCashFlows[Entity],"Lee Beaman",tblCashFlows[Transaction Date],"&gt;="&amp;A77,tblCashFlows[Transaction Date],"&lt;"&amp;EDATE(A77,1))</f>
        <v/>
      </c>
      <c r="G77" s="21">
        <f>F77-E77</f>
        <v/>
      </c>
      <c r="H77" s="21">
        <f>SUMIFS(tblCashFlows[Contribution Amount],tblCashFlows[Entity],"Kat Trust",tblCashFlows[Transaction Date],"&gt;="&amp;A77,tblCashFlows[Transaction Date],"&lt;"&amp;EDATE(A77,1))</f>
        <v/>
      </c>
      <c r="I77" s="21">
        <f>SUMIFS(tblCashFlows[Distribution Amount],tblCashFlows[Entity],"Kat Trust",tblCashFlows[Transaction Date],"&gt;="&amp;A77,tblCashFlows[Transaction Date],"&lt;"&amp;EDATE(A77,1))</f>
        <v/>
      </c>
      <c r="J77" s="21">
        <f>I77-H77</f>
        <v/>
      </c>
      <c r="K77" s="21">
        <f>SUMIFS(tblCashFlows[Contribution Amount],tblCashFlows[Entity],"Nat Trust",tblCashFlows[Transaction Date],"&gt;="&amp;A77,tblCashFlows[Transaction Date],"&lt;"&amp;EDATE(A77,1))</f>
        <v/>
      </c>
      <c r="L77" s="21">
        <f>SUMIFS(tblCashFlows[Distribution Amount],tblCashFlows[Entity],"Nat Trust",tblCashFlows[Transaction Date],"&gt;="&amp;A77,tblCashFlows[Transaction Date],"&lt;"&amp;EDATE(A77,1))</f>
        <v/>
      </c>
      <c r="M77" s="21">
        <f>L77-K77</f>
        <v/>
      </c>
      <c r="N77" s="21">
        <f>SUM(B77,E77,H77,K77)</f>
        <v/>
      </c>
      <c r="O77" s="21">
        <f>SUM(C77,F77,I77,L77)</f>
        <v/>
      </c>
      <c r="P77" s="21">
        <f>O77-N77</f>
        <v/>
      </c>
    </row>
    <row r="78">
      <c r="A78" s="26" t="n">
        <v>45444</v>
      </c>
      <c r="B78" s="21">
        <f>SUMIFS(tblCashFlows[Contribution Amount],tblCashFlows[Entity],"Beaman Ventures",tblCashFlows[Transaction Date],"&gt;="&amp;A78,tblCashFlows[Transaction Date],"&lt;"&amp;EDATE(A78,1))</f>
        <v/>
      </c>
      <c r="C78" s="21">
        <f>SUMIFS(tblCashFlows[Distribution Amount],tblCashFlows[Entity],"Beaman Ventures",tblCashFlows[Transaction Date],"&gt;="&amp;A78,tblCashFlows[Transaction Date],"&lt;"&amp;EDATE(A78,1))</f>
        <v/>
      </c>
      <c r="D78" s="21">
        <f>C78-B78</f>
        <v/>
      </c>
      <c r="E78" s="21">
        <f>SUMIFS(tblCashFlows[Contribution Amount],tblCashFlows[Entity],"Lee Beaman",tblCashFlows[Transaction Date],"&gt;="&amp;A78,tblCashFlows[Transaction Date],"&lt;"&amp;EDATE(A78,1))</f>
        <v/>
      </c>
      <c r="F78" s="21">
        <f>SUMIFS(tblCashFlows[Distribution Amount],tblCashFlows[Entity],"Lee Beaman",tblCashFlows[Transaction Date],"&gt;="&amp;A78,tblCashFlows[Transaction Date],"&lt;"&amp;EDATE(A78,1))</f>
        <v/>
      </c>
      <c r="G78" s="21">
        <f>F78-E78</f>
        <v/>
      </c>
      <c r="H78" s="21">
        <f>SUMIFS(tblCashFlows[Contribution Amount],tblCashFlows[Entity],"Kat Trust",tblCashFlows[Transaction Date],"&gt;="&amp;A78,tblCashFlows[Transaction Date],"&lt;"&amp;EDATE(A78,1))</f>
        <v/>
      </c>
      <c r="I78" s="21">
        <f>SUMIFS(tblCashFlows[Distribution Amount],tblCashFlows[Entity],"Kat Trust",tblCashFlows[Transaction Date],"&gt;="&amp;A78,tblCashFlows[Transaction Date],"&lt;"&amp;EDATE(A78,1))</f>
        <v/>
      </c>
      <c r="J78" s="21">
        <f>I78-H78</f>
        <v/>
      </c>
      <c r="K78" s="21">
        <f>SUMIFS(tblCashFlows[Contribution Amount],tblCashFlows[Entity],"Nat Trust",tblCashFlows[Transaction Date],"&gt;="&amp;A78,tblCashFlows[Transaction Date],"&lt;"&amp;EDATE(A78,1))</f>
        <v/>
      </c>
      <c r="L78" s="21">
        <f>SUMIFS(tblCashFlows[Distribution Amount],tblCashFlows[Entity],"Nat Trust",tblCashFlows[Transaction Date],"&gt;="&amp;A78,tblCashFlows[Transaction Date],"&lt;"&amp;EDATE(A78,1))</f>
        <v/>
      </c>
      <c r="M78" s="21">
        <f>L78-K78</f>
        <v/>
      </c>
      <c r="N78" s="21">
        <f>SUM(B78,E78,H78,K78)</f>
        <v/>
      </c>
      <c r="O78" s="21">
        <f>SUM(C78,F78,I78,L78)</f>
        <v/>
      </c>
      <c r="P78" s="21">
        <f>O78-N78</f>
        <v/>
      </c>
    </row>
    <row r="79">
      <c r="A79" s="26" t="n">
        <v>45474</v>
      </c>
      <c r="B79" s="21">
        <f>SUMIFS(tblCashFlows[Contribution Amount],tblCashFlows[Entity],"Beaman Ventures",tblCashFlows[Transaction Date],"&gt;="&amp;A79,tblCashFlows[Transaction Date],"&lt;"&amp;EDATE(A79,1))</f>
        <v/>
      </c>
      <c r="C79" s="21">
        <f>SUMIFS(tblCashFlows[Distribution Amount],tblCashFlows[Entity],"Beaman Ventures",tblCashFlows[Transaction Date],"&gt;="&amp;A79,tblCashFlows[Transaction Date],"&lt;"&amp;EDATE(A79,1))</f>
        <v/>
      </c>
      <c r="D79" s="21">
        <f>C79-B79</f>
        <v/>
      </c>
      <c r="E79" s="21">
        <f>SUMIFS(tblCashFlows[Contribution Amount],tblCashFlows[Entity],"Lee Beaman",tblCashFlows[Transaction Date],"&gt;="&amp;A79,tblCashFlows[Transaction Date],"&lt;"&amp;EDATE(A79,1))</f>
        <v/>
      </c>
      <c r="F79" s="21">
        <f>SUMIFS(tblCashFlows[Distribution Amount],tblCashFlows[Entity],"Lee Beaman",tblCashFlows[Transaction Date],"&gt;="&amp;A79,tblCashFlows[Transaction Date],"&lt;"&amp;EDATE(A79,1))</f>
        <v/>
      </c>
      <c r="G79" s="21">
        <f>F79-E79</f>
        <v/>
      </c>
      <c r="H79" s="21">
        <f>SUMIFS(tblCashFlows[Contribution Amount],tblCashFlows[Entity],"Kat Trust",tblCashFlows[Transaction Date],"&gt;="&amp;A79,tblCashFlows[Transaction Date],"&lt;"&amp;EDATE(A79,1))</f>
        <v/>
      </c>
      <c r="I79" s="21">
        <f>SUMIFS(tblCashFlows[Distribution Amount],tblCashFlows[Entity],"Kat Trust",tblCashFlows[Transaction Date],"&gt;="&amp;A79,tblCashFlows[Transaction Date],"&lt;"&amp;EDATE(A79,1))</f>
        <v/>
      </c>
      <c r="J79" s="21">
        <f>I79-H79</f>
        <v/>
      </c>
      <c r="K79" s="21">
        <f>SUMIFS(tblCashFlows[Contribution Amount],tblCashFlows[Entity],"Nat Trust",tblCashFlows[Transaction Date],"&gt;="&amp;A79,tblCashFlows[Transaction Date],"&lt;"&amp;EDATE(A79,1))</f>
        <v/>
      </c>
      <c r="L79" s="21">
        <f>SUMIFS(tblCashFlows[Distribution Amount],tblCashFlows[Entity],"Nat Trust",tblCashFlows[Transaction Date],"&gt;="&amp;A79,tblCashFlows[Transaction Date],"&lt;"&amp;EDATE(A79,1))</f>
        <v/>
      </c>
      <c r="M79" s="21">
        <f>L79-K79</f>
        <v/>
      </c>
      <c r="N79" s="21">
        <f>SUM(B79,E79,H79,K79)</f>
        <v/>
      </c>
      <c r="O79" s="21">
        <f>SUM(C79,F79,I79,L79)</f>
        <v/>
      </c>
      <c r="P79" s="21">
        <f>O79-N79</f>
        <v/>
      </c>
    </row>
    <row r="80">
      <c r="A80" s="26" t="n">
        <v>45505</v>
      </c>
      <c r="B80" s="21">
        <f>SUMIFS(tblCashFlows[Contribution Amount],tblCashFlows[Entity],"Beaman Ventures",tblCashFlows[Transaction Date],"&gt;="&amp;A80,tblCashFlows[Transaction Date],"&lt;"&amp;EDATE(A80,1))</f>
        <v/>
      </c>
      <c r="C80" s="21">
        <f>SUMIFS(tblCashFlows[Distribution Amount],tblCashFlows[Entity],"Beaman Ventures",tblCashFlows[Transaction Date],"&gt;="&amp;A80,tblCashFlows[Transaction Date],"&lt;"&amp;EDATE(A80,1))</f>
        <v/>
      </c>
      <c r="D80" s="21">
        <f>C80-B80</f>
        <v/>
      </c>
      <c r="E80" s="21">
        <f>SUMIFS(tblCashFlows[Contribution Amount],tblCashFlows[Entity],"Lee Beaman",tblCashFlows[Transaction Date],"&gt;="&amp;A80,tblCashFlows[Transaction Date],"&lt;"&amp;EDATE(A80,1))</f>
        <v/>
      </c>
      <c r="F80" s="21">
        <f>SUMIFS(tblCashFlows[Distribution Amount],tblCashFlows[Entity],"Lee Beaman",tblCashFlows[Transaction Date],"&gt;="&amp;A80,tblCashFlows[Transaction Date],"&lt;"&amp;EDATE(A80,1))</f>
        <v/>
      </c>
      <c r="G80" s="21">
        <f>F80-E80</f>
        <v/>
      </c>
      <c r="H80" s="21">
        <f>SUMIFS(tblCashFlows[Contribution Amount],tblCashFlows[Entity],"Kat Trust",tblCashFlows[Transaction Date],"&gt;="&amp;A80,tblCashFlows[Transaction Date],"&lt;"&amp;EDATE(A80,1))</f>
        <v/>
      </c>
      <c r="I80" s="21">
        <f>SUMIFS(tblCashFlows[Distribution Amount],tblCashFlows[Entity],"Kat Trust",tblCashFlows[Transaction Date],"&gt;="&amp;A80,tblCashFlows[Transaction Date],"&lt;"&amp;EDATE(A80,1))</f>
        <v/>
      </c>
      <c r="J80" s="21">
        <f>I80-H80</f>
        <v/>
      </c>
      <c r="K80" s="21">
        <f>SUMIFS(tblCashFlows[Contribution Amount],tblCashFlows[Entity],"Nat Trust",tblCashFlows[Transaction Date],"&gt;="&amp;A80,tblCashFlows[Transaction Date],"&lt;"&amp;EDATE(A80,1))</f>
        <v/>
      </c>
      <c r="L80" s="21">
        <f>SUMIFS(tblCashFlows[Distribution Amount],tblCashFlows[Entity],"Nat Trust",tblCashFlows[Transaction Date],"&gt;="&amp;A80,tblCashFlows[Transaction Date],"&lt;"&amp;EDATE(A80,1))</f>
        <v/>
      </c>
      <c r="M80" s="21">
        <f>L80-K80</f>
        <v/>
      </c>
      <c r="N80" s="21">
        <f>SUM(B80,E80,H80,K80)</f>
        <v/>
      </c>
      <c r="O80" s="21">
        <f>SUM(C80,F80,I80,L80)</f>
        <v/>
      </c>
      <c r="P80" s="21">
        <f>O80-N80</f>
        <v/>
      </c>
    </row>
    <row r="81">
      <c r="A81" s="26" t="n">
        <v>45536</v>
      </c>
      <c r="B81" s="21">
        <f>SUMIFS(tblCashFlows[Contribution Amount],tblCashFlows[Entity],"Beaman Ventures",tblCashFlows[Transaction Date],"&gt;="&amp;A81,tblCashFlows[Transaction Date],"&lt;"&amp;EDATE(A81,1))</f>
        <v/>
      </c>
      <c r="C81" s="21">
        <f>SUMIFS(tblCashFlows[Distribution Amount],tblCashFlows[Entity],"Beaman Ventures",tblCashFlows[Transaction Date],"&gt;="&amp;A81,tblCashFlows[Transaction Date],"&lt;"&amp;EDATE(A81,1))</f>
        <v/>
      </c>
      <c r="D81" s="21">
        <f>C81-B81</f>
        <v/>
      </c>
      <c r="E81" s="21">
        <f>SUMIFS(tblCashFlows[Contribution Amount],tblCashFlows[Entity],"Lee Beaman",tblCashFlows[Transaction Date],"&gt;="&amp;A81,tblCashFlows[Transaction Date],"&lt;"&amp;EDATE(A81,1))</f>
        <v/>
      </c>
      <c r="F81" s="21">
        <f>SUMIFS(tblCashFlows[Distribution Amount],tblCashFlows[Entity],"Lee Beaman",tblCashFlows[Transaction Date],"&gt;="&amp;A81,tblCashFlows[Transaction Date],"&lt;"&amp;EDATE(A81,1))</f>
        <v/>
      </c>
      <c r="G81" s="21">
        <f>F81-E81</f>
        <v/>
      </c>
      <c r="H81" s="21">
        <f>SUMIFS(tblCashFlows[Contribution Amount],tblCashFlows[Entity],"Kat Trust",tblCashFlows[Transaction Date],"&gt;="&amp;A81,tblCashFlows[Transaction Date],"&lt;"&amp;EDATE(A81,1))</f>
        <v/>
      </c>
      <c r="I81" s="21">
        <f>SUMIFS(tblCashFlows[Distribution Amount],tblCashFlows[Entity],"Kat Trust",tblCashFlows[Transaction Date],"&gt;="&amp;A81,tblCashFlows[Transaction Date],"&lt;"&amp;EDATE(A81,1))</f>
        <v/>
      </c>
      <c r="J81" s="21">
        <f>I81-H81</f>
        <v/>
      </c>
      <c r="K81" s="21">
        <f>SUMIFS(tblCashFlows[Contribution Amount],tblCashFlows[Entity],"Nat Trust",tblCashFlows[Transaction Date],"&gt;="&amp;A81,tblCashFlows[Transaction Date],"&lt;"&amp;EDATE(A81,1))</f>
        <v/>
      </c>
      <c r="L81" s="21">
        <f>SUMIFS(tblCashFlows[Distribution Amount],tblCashFlows[Entity],"Nat Trust",tblCashFlows[Transaction Date],"&gt;="&amp;A81,tblCashFlows[Transaction Date],"&lt;"&amp;EDATE(A81,1))</f>
        <v/>
      </c>
      <c r="M81" s="21">
        <f>L81-K81</f>
        <v/>
      </c>
      <c r="N81" s="21">
        <f>SUM(B81,E81,H81,K81)</f>
        <v/>
      </c>
      <c r="O81" s="21">
        <f>SUM(C81,F81,I81,L81)</f>
        <v/>
      </c>
      <c r="P81" s="21">
        <f>O81-N81</f>
        <v/>
      </c>
    </row>
    <row r="82">
      <c r="A82" s="26" t="n">
        <v>45566</v>
      </c>
      <c r="B82" s="21">
        <f>SUMIFS(tblCashFlows[Contribution Amount],tblCashFlows[Entity],"Beaman Ventures",tblCashFlows[Transaction Date],"&gt;="&amp;A82,tblCashFlows[Transaction Date],"&lt;"&amp;EDATE(A82,1))</f>
        <v/>
      </c>
      <c r="C82" s="21">
        <f>SUMIFS(tblCashFlows[Distribution Amount],tblCashFlows[Entity],"Beaman Ventures",tblCashFlows[Transaction Date],"&gt;="&amp;A82,tblCashFlows[Transaction Date],"&lt;"&amp;EDATE(A82,1))</f>
        <v/>
      </c>
      <c r="D82" s="21">
        <f>C82-B82</f>
        <v/>
      </c>
      <c r="E82" s="21">
        <f>SUMIFS(tblCashFlows[Contribution Amount],tblCashFlows[Entity],"Lee Beaman",tblCashFlows[Transaction Date],"&gt;="&amp;A82,tblCashFlows[Transaction Date],"&lt;"&amp;EDATE(A82,1))</f>
        <v/>
      </c>
      <c r="F82" s="21">
        <f>SUMIFS(tblCashFlows[Distribution Amount],tblCashFlows[Entity],"Lee Beaman",tblCashFlows[Transaction Date],"&gt;="&amp;A82,tblCashFlows[Transaction Date],"&lt;"&amp;EDATE(A82,1))</f>
        <v/>
      </c>
      <c r="G82" s="21">
        <f>F82-E82</f>
        <v/>
      </c>
      <c r="H82" s="21">
        <f>SUMIFS(tblCashFlows[Contribution Amount],tblCashFlows[Entity],"Kat Trust",tblCashFlows[Transaction Date],"&gt;="&amp;A82,tblCashFlows[Transaction Date],"&lt;"&amp;EDATE(A82,1))</f>
        <v/>
      </c>
      <c r="I82" s="21">
        <f>SUMIFS(tblCashFlows[Distribution Amount],tblCashFlows[Entity],"Kat Trust",tblCashFlows[Transaction Date],"&gt;="&amp;A82,tblCashFlows[Transaction Date],"&lt;"&amp;EDATE(A82,1))</f>
        <v/>
      </c>
      <c r="J82" s="21">
        <f>I82-H82</f>
        <v/>
      </c>
      <c r="K82" s="21">
        <f>SUMIFS(tblCashFlows[Contribution Amount],tblCashFlows[Entity],"Nat Trust",tblCashFlows[Transaction Date],"&gt;="&amp;A82,tblCashFlows[Transaction Date],"&lt;"&amp;EDATE(A82,1))</f>
        <v/>
      </c>
      <c r="L82" s="21">
        <f>SUMIFS(tblCashFlows[Distribution Amount],tblCashFlows[Entity],"Nat Trust",tblCashFlows[Transaction Date],"&gt;="&amp;A82,tblCashFlows[Transaction Date],"&lt;"&amp;EDATE(A82,1))</f>
        <v/>
      </c>
      <c r="M82" s="21">
        <f>L82-K82</f>
        <v/>
      </c>
      <c r="N82" s="21">
        <f>SUM(B82,E82,H82,K82)</f>
        <v/>
      </c>
      <c r="O82" s="21">
        <f>SUM(C82,F82,I82,L82)</f>
        <v/>
      </c>
      <c r="P82" s="21">
        <f>O82-N82</f>
        <v/>
      </c>
    </row>
    <row r="83">
      <c r="A83" s="26" t="n">
        <v>45597</v>
      </c>
      <c r="B83" s="21">
        <f>SUMIFS(tblCashFlows[Contribution Amount],tblCashFlows[Entity],"Beaman Ventures",tblCashFlows[Transaction Date],"&gt;="&amp;A83,tblCashFlows[Transaction Date],"&lt;"&amp;EDATE(A83,1))</f>
        <v/>
      </c>
      <c r="C83" s="21">
        <f>SUMIFS(tblCashFlows[Distribution Amount],tblCashFlows[Entity],"Beaman Ventures",tblCashFlows[Transaction Date],"&gt;="&amp;A83,tblCashFlows[Transaction Date],"&lt;"&amp;EDATE(A83,1))</f>
        <v/>
      </c>
      <c r="D83" s="21">
        <f>C83-B83</f>
        <v/>
      </c>
      <c r="E83" s="21">
        <f>SUMIFS(tblCashFlows[Contribution Amount],tblCashFlows[Entity],"Lee Beaman",tblCashFlows[Transaction Date],"&gt;="&amp;A83,tblCashFlows[Transaction Date],"&lt;"&amp;EDATE(A83,1))</f>
        <v/>
      </c>
      <c r="F83" s="21">
        <f>SUMIFS(tblCashFlows[Distribution Amount],tblCashFlows[Entity],"Lee Beaman",tblCashFlows[Transaction Date],"&gt;="&amp;A83,tblCashFlows[Transaction Date],"&lt;"&amp;EDATE(A83,1))</f>
        <v/>
      </c>
      <c r="G83" s="21">
        <f>F83-E83</f>
        <v/>
      </c>
      <c r="H83" s="21">
        <f>SUMIFS(tblCashFlows[Contribution Amount],tblCashFlows[Entity],"Kat Trust",tblCashFlows[Transaction Date],"&gt;="&amp;A83,tblCashFlows[Transaction Date],"&lt;"&amp;EDATE(A83,1))</f>
        <v/>
      </c>
      <c r="I83" s="21">
        <f>SUMIFS(tblCashFlows[Distribution Amount],tblCashFlows[Entity],"Kat Trust",tblCashFlows[Transaction Date],"&gt;="&amp;A83,tblCashFlows[Transaction Date],"&lt;"&amp;EDATE(A83,1))</f>
        <v/>
      </c>
      <c r="J83" s="21">
        <f>I83-H83</f>
        <v/>
      </c>
      <c r="K83" s="21">
        <f>SUMIFS(tblCashFlows[Contribution Amount],tblCashFlows[Entity],"Nat Trust",tblCashFlows[Transaction Date],"&gt;="&amp;A83,tblCashFlows[Transaction Date],"&lt;"&amp;EDATE(A83,1))</f>
        <v/>
      </c>
      <c r="L83" s="21">
        <f>SUMIFS(tblCashFlows[Distribution Amount],tblCashFlows[Entity],"Nat Trust",tblCashFlows[Transaction Date],"&gt;="&amp;A83,tblCashFlows[Transaction Date],"&lt;"&amp;EDATE(A83,1))</f>
        <v/>
      </c>
      <c r="M83" s="21">
        <f>L83-K83</f>
        <v/>
      </c>
      <c r="N83" s="21">
        <f>SUM(B83,E83,H83,K83)</f>
        <v/>
      </c>
      <c r="O83" s="21">
        <f>SUM(C83,F83,I83,L83)</f>
        <v/>
      </c>
      <c r="P83" s="21">
        <f>O83-N83</f>
        <v/>
      </c>
    </row>
    <row r="84">
      <c r="A84" s="26" t="n">
        <v>45627</v>
      </c>
      <c r="B84" s="21">
        <f>SUMIFS(tblCashFlows[Contribution Amount],tblCashFlows[Entity],"Beaman Ventures",tblCashFlows[Transaction Date],"&gt;="&amp;A84,tblCashFlows[Transaction Date],"&lt;"&amp;EDATE(A84,1))</f>
        <v/>
      </c>
      <c r="C84" s="21">
        <f>SUMIFS(tblCashFlows[Distribution Amount],tblCashFlows[Entity],"Beaman Ventures",tblCashFlows[Transaction Date],"&gt;="&amp;A84,tblCashFlows[Transaction Date],"&lt;"&amp;EDATE(A84,1))</f>
        <v/>
      </c>
      <c r="D84" s="21">
        <f>C84-B84</f>
        <v/>
      </c>
      <c r="E84" s="21">
        <f>SUMIFS(tblCashFlows[Contribution Amount],tblCashFlows[Entity],"Lee Beaman",tblCashFlows[Transaction Date],"&gt;="&amp;A84,tblCashFlows[Transaction Date],"&lt;"&amp;EDATE(A84,1))</f>
        <v/>
      </c>
      <c r="F84" s="21">
        <f>SUMIFS(tblCashFlows[Distribution Amount],tblCashFlows[Entity],"Lee Beaman",tblCashFlows[Transaction Date],"&gt;="&amp;A84,tblCashFlows[Transaction Date],"&lt;"&amp;EDATE(A84,1))</f>
        <v/>
      </c>
      <c r="G84" s="21">
        <f>F84-E84</f>
        <v/>
      </c>
      <c r="H84" s="21">
        <f>SUMIFS(tblCashFlows[Contribution Amount],tblCashFlows[Entity],"Kat Trust",tblCashFlows[Transaction Date],"&gt;="&amp;A84,tblCashFlows[Transaction Date],"&lt;"&amp;EDATE(A84,1))</f>
        <v/>
      </c>
      <c r="I84" s="21">
        <f>SUMIFS(tblCashFlows[Distribution Amount],tblCashFlows[Entity],"Kat Trust",tblCashFlows[Transaction Date],"&gt;="&amp;A84,tblCashFlows[Transaction Date],"&lt;"&amp;EDATE(A84,1))</f>
        <v/>
      </c>
      <c r="J84" s="21">
        <f>I84-H84</f>
        <v/>
      </c>
      <c r="K84" s="21">
        <f>SUMIFS(tblCashFlows[Contribution Amount],tblCashFlows[Entity],"Nat Trust",tblCashFlows[Transaction Date],"&gt;="&amp;A84,tblCashFlows[Transaction Date],"&lt;"&amp;EDATE(A84,1))</f>
        <v/>
      </c>
      <c r="L84" s="21">
        <f>SUMIFS(tblCashFlows[Distribution Amount],tblCashFlows[Entity],"Nat Trust",tblCashFlows[Transaction Date],"&gt;="&amp;A84,tblCashFlows[Transaction Date],"&lt;"&amp;EDATE(A84,1))</f>
        <v/>
      </c>
      <c r="M84" s="21">
        <f>L84-K84</f>
        <v/>
      </c>
      <c r="N84" s="21">
        <f>SUM(B84,E84,H84,K84)</f>
        <v/>
      </c>
      <c r="O84" s="21">
        <f>SUM(C84,F84,I84,L84)</f>
        <v/>
      </c>
      <c r="P84" s="21">
        <f>O84-N84</f>
        <v/>
      </c>
    </row>
    <row r="85">
      <c r="A85" s="26" t="n">
        <v>45658</v>
      </c>
      <c r="B85" s="21">
        <f>SUMIFS(tblCashFlows[Contribution Amount],tblCashFlows[Entity],"Beaman Ventures",tblCashFlows[Transaction Date],"&gt;="&amp;A85,tblCashFlows[Transaction Date],"&lt;"&amp;EDATE(A85,1))</f>
        <v/>
      </c>
      <c r="C85" s="21">
        <f>SUMIFS(tblCashFlows[Distribution Amount],tblCashFlows[Entity],"Beaman Ventures",tblCashFlows[Transaction Date],"&gt;="&amp;A85,tblCashFlows[Transaction Date],"&lt;"&amp;EDATE(A85,1))</f>
        <v/>
      </c>
      <c r="D85" s="21">
        <f>C85-B85</f>
        <v/>
      </c>
      <c r="E85" s="21">
        <f>SUMIFS(tblCashFlows[Contribution Amount],tblCashFlows[Entity],"Lee Beaman",tblCashFlows[Transaction Date],"&gt;="&amp;A85,tblCashFlows[Transaction Date],"&lt;"&amp;EDATE(A85,1))</f>
        <v/>
      </c>
      <c r="F85" s="21">
        <f>SUMIFS(tblCashFlows[Distribution Amount],tblCashFlows[Entity],"Lee Beaman",tblCashFlows[Transaction Date],"&gt;="&amp;A85,tblCashFlows[Transaction Date],"&lt;"&amp;EDATE(A85,1))</f>
        <v/>
      </c>
      <c r="G85" s="21">
        <f>F85-E85</f>
        <v/>
      </c>
      <c r="H85" s="21">
        <f>SUMIFS(tblCashFlows[Contribution Amount],tblCashFlows[Entity],"Kat Trust",tblCashFlows[Transaction Date],"&gt;="&amp;A85,tblCashFlows[Transaction Date],"&lt;"&amp;EDATE(A85,1))</f>
        <v/>
      </c>
      <c r="I85" s="21">
        <f>SUMIFS(tblCashFlows[Distribution Amount],tblCashFlows[Entity],"Kat Trust",tblCashFlows[Transaction Date],"&gt;="&amp;A85,tblCashFlows[Transaction Date],"&lt;"&amp;EDATE(A85,1))</f>
        <v/>
      </c>
      <c r="J85" s="21">
        <f>I85-H85</f>
        <v/>
      </c>
      <c r="K85" s="21">
        <f>SUMIFS(tblCashFlows[Contribution Amount],tblCashFlows[Entity],"Nat Trust",tblCashFlows[Transaction Date],"&gt;="&amp;A85,tblCashFlows[Transaction Date],"&lt;"&amp;EDATE(A85,1))</f>
        <v/>
      </c>
      <c r="L85" s="21">
        <f>SUMIFS(tblCashFlows[Distribution Amount],tblCashFlows[Entity],"Nat Trust",tblCashFlows[Transaction Date],"&gt;="&amp;A85,tblCashFlows[Transaction Date],"&lt;"&amp;EDATE(A85,1))</f>
        <v/>
      </c>
      <c r="M85" s="21">
        <f>L85-K85</f>
        <v/>
      </c>
      <c r="N85" s="21">
        <f>SUM(B85,E85,H85,K85)</f>
        <v/>
      </c>
      <c r="O85" s="21">
        <f>SUM(C85,F85,I85,L85)</f>
        <v/>
      </c>
      <c r="P85" s="21">
        <f>O85-N85</f>
        <v/>
      </c>
    </row>
    <row r="86">
      <c r="A86" s="26" t="n">
        <v>45689</v>
      </c>
      <c r="B86" s="21">
        <f>SUMIFS(tblCashFlows[Contribution Amount],tblCashFlows[Entity],"Beaman Ventures",tblCashFlows[Transaction Date],"&gt;="&amp;A86,tblCashFlows[Transaction Date],"&lt;"&amp;EDATE(A86,1))</f>
        <v/>
      </c>
      <c r="C86" s="21">
        <f>SUMIFS(tblCashFlows[Distribution Amount],tblCashFlows[Entity],"Beaman Ventures",tblCashFlows[Transaction Date],"&gt;="&amp;A86,tblCashFlows[Transaction Date],"&lt;"&amp;EDATE(A86,1))</f>
        <v/>
      </c>
      <c r="D86" s="21">
        <f>C86-B86</f>
        <v/>
      </c>
      <c r="E86" s="21">
        <f>SUMIFS(tblCashFlows[Contribution Amount],tblCashFlows[Entity],"Lee Beaman",tblCashFlows[Transaction Date],"&gt;="&amp;A86,tblCashFlows[Transaction Date],"&lt;"&amp;EDATE(A86,1))</f>
        <v/>
      </c>
      <c r="F86" s="21">
        <f>SUMIFS(tblCashFlows[Distribution Amount],tblCashFlows[Entity],"Lee Beaman",tblCashFlows[Transaction Date],"&gt;="&amp;A86,tblCashFlows[Transaction Date],"&lt;"&amp;EDATE(A86,1))</f>
        <v/>
      </c>
      <c r="G86" s="21">
        <f>F86-E86</f>
        <v/>
      </c>
      <c r="H86" s="21">
        <f>SUMIFS(tblCashFlows[Contribution Amount],tblCashFlows[Entity],"Kat Trust",tblCashFlows[Transaction Date],"&gt;="&amp;A86,tblCashFlows[Transaction Date],"&lt;"&amp;EDATE(A86,1))</f>
        <v/>
      </c>
      <c r="I86" s="21">
        <f>SUMIFS(tblCashFlows[Distribution Amount],tblCashFlows[Entity],"Kat Trust",tblCashFlows[Transaction Date],"&gt;="&amp;A86,tblCashFlows[Transaction Date],"&lt;"&amp;EDATE(A86,1))</f>
        <v/>
      </c>
      <c r="J86" s="21">
        <f>I86-H86</f>
        <v/>
      </c>
      <c r="K86" s="21">
        <f>SUMIFS(tblCashFlows[Contribution Amount],tblCashFlows[Entity],"Nat Trust",tblCashFlows[Transaction Date],"&gt;="&amp;A86,tblCashFlows[Transaction Date],"&lt;"&amp;EDATE(A86,1))</f>
        <v/>
      </c>
      <c r="L86" s="21">
        <f>SUMIFS(tblCashFlows[Distribution Amount],tblCashFlows[Entity],"Nat Trust",tblCashFlows[Transaction Date],"&gt;="&amp;A86,tblCashFlows[Transaction Date],"&lt;"&amp;EDATE(A86,1))</f>
        <v/>
      </c>
      <c r="M86" s="21">
        <f>L86-K86</f>
        <v/>
      </c>
      <c r="N86" s="21">
        <f>SUM(B86,E86,H86,K86)</f>
        <v/>
      </c>
      <c r="O86" s="21">
        <f>SUM(C86,F86,I86,L86)</f>
        <v/>
      </c>
      <c r="P86" s="21">
        <f>O86-N86</f>
        <v/>
      </c>
    </row>
    <row r="87">
      <c r="A87" s="26" t="n">
        <v>45717</v>
      </c>
      <c r="B87" s="21">
        <f>SUMIFS(tblCashFlows[Contribution Amount],tblCashFlows[Entity],"Beaman Ventures",tblCashFlows[Transaction Date],"&gt;="&amp;A87,tblCashFlows[Transaction Date],"&lt;"&amp;EDATE(A87,1))</f>
        <v/>
      </c>
      <c r="C87" s="21">
        <f>SUMIFS(tblCashFlows[Distribution Amount],tblCashFlows[Entity],"Beaman Ventures",tblCashFlows[Transaction Date],"&gt;="&amp;A87,tblCashFlows[Transaction Date],"&lt;"&amp;EDATE(A87,1))</f>
        <v/>
      </c>
      <c r="D87" s="21">
        <f>C87-B87</f>
        <v/>
      </c>
      <c r="E87" s="21">
        <f>SUMIFS(tblCashFlows[Contribution Amount],tblCashFlows[Entity],"Lee Beaman",tblCashFlows[Transaction Date],"&gt;="&amp;A87,tblCashFlows[Transaction Date],"&lt;"&amp;EDATE(A87,1))</f>
        <v/>
      </c>
      <c r="F87" s="21">
        <f>SUMIFS(tblCashFlows[Distribution Amount],tblCashFlows[Entity],"Lee Beaman",tblCashFlows[Transaction Date],"&gt;="&amp;A87,tblCashFlows[Transaction Date],"&lt;"&amp;EDATE(A87,1))</f>
        <v/>
      </c>
      <c r="G87" s="21">
        <f>F87-E87</f>
        <v/>
      </c>
      <c r="H87" s="21">
        <f>SUMIFS(tblCashFlows[Contribution Amount],tblCashFlows[Entity],"Kat Trust",tblCashFlows[Transaction Date],"&gt;="&amp;A87,tblCashFlows[Transaction Date],"&lt;"&amp;EDATE(A87,1))</f>
        <v/>
      </c>
      <c r="I87" s="21">
        <f>SUMIFS(tblCashFlows[Distribution Amount],tblCashFlows[Entity],"Kat Trust",tblCashFlows[Transaction Date],"&gt;="&amp;A87,tblCashFlows[Transaction Date],"&lt;"&amp;EDATE(A87,1))</f>
        <v/>
      </c>
      <c r="J87" s="21">
        <f>I87-H87</f>
        <v/>
      </c>
      <c r="K87" s="21">
        <f>SUMIFS(tblCashFlows[Contribution Amount],tblCashFlows[Entity],"Nat Trust",tblCashFlows[Transaction Date],"&gt;="&amp;A87,tblCashFlows[Transaction Date],"&lt;"&amp;EDATE(A87,1))</f>
        <v/>
      </c>
      <c r="L87" s="21">
        <f>SUMIFS(tblCashFlows[Distribution Amount],tblCashFlows[Entity],"Nat Trust",tblCashFlows[Transaction Date],"&gt;="&amp;A87,tblCashFlows[Transaction Date],"&lt;"&amp;EDATE(A87,1))</f>
        <v/>
      </c>
      <c r="M87" s="21">
        <f>L87-K87</f>
        <v/>
      </c>
      <c r="N87" s="21">
        <f>SUM(B87,E87,H87,K87)</f>
        <v/>
      </c>
      <c r="O87" s="21">
        <f>SUM(C87,F87,I87,L87)</f>
        <v/>
      </c>
      <c r="P87" s="21">
        <f>O87-N87</f>
        <v/>
      </c>
    </row>
    <row r="88">
      <c r="A88" s="26" t="n">
        <v>45748</v>
      </c>
      <c r="B88" s="21">
        <f>SUMIFS(tblCashFlows[Contribution Amount],tblCashFlows[Entity],"Beaman Ventures",tblCashFlows[Transaction Date],"&gt;="&amp;A88,tblCashFlows[Transaction Date],"&lt;"&amp;EDATE(A88,1))</f>
        <v/>
      </c>
      <c r="C88" s="21">
        <f>SUMIFS(tblCashFlows[Distribution Amount],tblCashFlows[Entity],"Beaman Ventures",tblCashFlows[Transaction Date],"&gt;="&amp;A88,tblCashFlows[Transaction Date],"&lt;"&amp;EDATE(A88,1))</f>
        <v/>
      </c>
      <c r="D88" s="21">
        <f>C88-B88</f>
        <v/>
      </c>
      <c r="E88" s="21">
        <f>SUMIFS(tblCashFlows[Contribution Amount],tblCashFlows[Entity],"Lee Beaman",tblCashFlows[Transaction Date],"&gt;="&amp;A88,tblCashFlows[Transaction Date],"&lt;"&amp;EDATE(A88,1))</f>
        <v/>
      </c>
      <c r="F88" s="21">
        <f>SUMIFS(tblCashFlows[Distribution Amount],tblCashFlows[Entity],"Lee Beaman",tblCashFlows[Transaction Date],"&gt;="&amp;A88,tblCashFlows[Transaction Date],"&lt;"&amp;EDATE(A88,1))</f>
        <v/>
      </c>
      <c r="G88" s="21">
        <f>F88-E88</f>
        <v/>
      </c>
      <c r="H88" s="21">
        <f>SUMIFS(tblCashFlows[Contribution Amount],tblCashFlows[Entity],"Kat Trust",tblCashFlows[Transaction Date],"&gt;="&amp;A88,tblCashFlows[Transaction Date],"&lt;"&amp;EDATE(A88,1))</f>
        <v/>
      </c>
      <c r="I88" s="21">
        <f>SUMIFS(tblCashFlows[Distribution Amount],tblCashFlows[Entity],"Kat Trust",tblCashFlows[Transaction Date],"&gt;="&amp;A88,tblCashFlows[Transaction Date],"&lt;"&amp;EDATE(A88,1))</f>
        <v/>
      </c>
      <c r="J88" s="21">
        <f>I88-H88</f>
        <v/>
      </c>
      <c r="K88" s="21">
        <f>SUMIFS(tblCashFlows[Contribution Amount],tblCashFlows[Entity],"Nat Trust",tblCashFlows[Transaction Date],"&gt;="&amp;A88,tblCashFlows[Transaction Date],"&lt;"&amp;EDATE(A88,1))</f>
        <v/>
      </c>
      <c r="L88" s="21">
        <f>SUMIFS(tblCashFlows[Distribution Amount],tblCashFlows[Entity],"Nat Trust",tblCashFlows[Transaction Date],"&gt;="&amp;A88,tblCashFlows[Transaction Date],"&lt;"&amp;EDATE(A88,1))</f>
        <v/>
      </c>
      <c r="M88" s="21">
        <f>L88-K88</f>
        <v/>
      </c>
      <c r="N88" s="21">
        <f>SUM(B88,E88,H88,K88)</f>
        <v/>
      </c>
      <c r="O88" s="21">
        <f>SUM(C88,F88,I88,L88)</f>
        <v/>
      </c>
      <c r="P88" s="21">
        <f>O88-N88</f>
        <v/>
      </c>
    </row>
    <row r="89">
      <c r="A89" s="26" t="n">
        <v>45778</v>
      </c>
      <c r="B89" s="21">
        <f>SUMIFS(tblCashFlows[Contribution Amount],tblCashFlows[Entity],"Beaman Ventures",tblCashFlows[Transaction Date],"&gt;="&amp;A89,tblCashFlows[Transaction Date],"&lt;"&amp;EDATE(A89,1))</f>
        <v/>
      </c>
      <c r="C89" s="21">
        <f>SUMIFS(tblCashFlows[Distribution Amount],tblCashFlows[Entity],"Beaman Ventures",tblCashFlows[Transaction Date],"&gt;="&amp;A89,tblCashFlows[Transaction Date],"&lt;"&amp;EDATE(A89,1))</f>
        <v/>
      </c>
      <c r="D89" s="21">
        <f>C89-B89</f>
        <v/>
      </c>
      <c r="E89" s="21">
        <f>SUMIFS(tblCashFlows[Contribution Amount],tblCashFlows[Entity],"Lee Beaman",tblCashFlows[Transaction Date],"&gt;="&amp;A89,tblCashFlows[Transaction Date],"&lt;"&amp;EDATE(A89,1))</f>
        <v/>
      </c>
      <c r="F89" s="21">
        <f>SUMIFS(tblCashFlows[Distribution Amount],tblCashFlows[Entity],"Lee Beaman",tblCashFlows[Transaction Date],"&gt;="&amp;A89,tblCashFlows[Transaction Date],"&lt;"&amp;EDATE(A89,1))</f>
        <v/>
      </c>
      <c r="G89" s="21">
        <f>F89-E89</f>
        <v/>
      </c>
      <c r="H89" s="21">
        <f>SUMIFS(tblCashFlows[Contribution Amount],tblCashFlows[Entity],"Kat Trust",tblCashFlows[Transaction Date],"&gt;="&amp;A89,tblCashFlows[Transaction Date],"&lt;"&amp;EDATE(A89,1))</f>
        <v/>
      </c>
      <c r="I89" s="21">
        <f>SUMIFS(tblCashFlows[Distribution Amount],tblCashFlows[Entity],"Kat Trust",tblCashFlows[Transaction Date],"&gt;="&amp;A89,tblCashFlows[Transaction Date],"&lt;"&amp;EDATE(A89,1))</f>
        <v/>
      </c>
      <c r="J89" s="21">
        <f>I89-H89</f>
        <v/>
      </c>
      <c r="K89" s="21">
        <f>SUMIFS(tblCashFlows[Contribution Amount],tblCashFlows[Entity],"Nat Trust",tblCashFlows[Transaction Date],"&gt;="&amp;A89,tblCashFlows[Transaction Date],"&lt;"&amp;EDATE(A89,1))</f>
        <v/>
      </c>
      <c r="L89" s="21">
        <f>SUMIFS(tblCashFlows[Distribution Amount],tblCashFlows[Entity],"Nat Trust",tblCashFlows[Transaction Date],"&gt;="&amp;A89,tblCashFlows[Transaction Date],"&lt;"&amp;EDATE(A89,1))</f>
        <v/>
      </c>
      <c r="M89" s="21">
        <f>L89-K89</f>
        <v/>
      </c>
      <c r="N89" s="21">
        <f>SUM(B89,E89,H89,K89)</f>
        <v/>
      </c>
      <c r="O89" s="21">
        <f>SUM(C89,F89,I89,L89)</f>
        <v/>
      </c>
      <c r="P89" s="21">
        <f>O89-N89</f>
        <v/>
      </c>
    </row>
    <row r="90">
      <c r="A90" s="26" t="n">
        <v>45809</v>
      </c>
      <c r="B90" s="21">
        <f>SUMIFS(tblCashFlows[Contribution Amount],tblCashFlows[Entity],"Beaman Ventures",tblCashFlows[Transaction Date],"&gt;="&amp;A90,tblCashFlows[Transaction Date],"&lt;"&amp;EDATE(A90,1))</f>
        <v/>
      </c>
      <c r="C90" s="21">
        <f>SUMIFS(tblCashFlows[Distribution Amount],tblCashFlows[Entity],"Beaman Ventures",tblCashFlows[Transaction Date],"&gt;="&amp;A90,tblCashFlows[Transaction Date],"&lt;"&amp;EDATE(A90,1))</f>
        <v/>
      </c>
      <c r="D90" s="21">
        <f>C90-B90</f>
        <v/>
      </c>
      <c r="E90" s="21">
        <f>SUMIFS(tblCashFlows[Contribution Amount],tblCashFlows[Entity],"Lee Beaman",tblCashFlows[Transaction Date],"&gt;="&amp;A90,tblCashFlows[Transaction Date],"&lt;"&amp;EDATE(A90,1))</f>
        <v/>
      </c>
      <c r="F90" s="21">
        <f>SUMIFS(tblCashFlows[Distribution Amount],tblCashFlows[Entity],"Lee Beaman",tblCashFlows[Transaction Date],"&gt;="&amp;A90,tblCashFlows[Transaction Date],"&lt;"&amp;EDATE(A90,1))</f>
        <v/>
      </c>
      <c r="G90" s="21">
        <f>F90-E90</f>
        <v/>
      </c>
      <c r="H90" s="21">
        <f>SUMIFS(tblCashFlows[Contribution Amount],tblCashFlows[Entity],"Kat Trust",tblCashFlows[Transaction Date],"&gt;="&amp;A90,tblCashFlows[Transaction Date],"&lt;"&amp;EDATE(A90,1))</f>
        <v/>
      </c>
      <c r="I90" s="21">
        <f>SUMIFS(tblCashFlows[Distribution Amount],tblCashFlows[Entity],"Kat Trust",tblCashFlows[Transaction Date],"&gt;="&amp;A90,tblCashFlows[Transaction Date],"&lt;"&amp;EDATE(A90,1))</f>
        <v/>
      </c>
      <c r="J90" s="21">
        <f>I90-H90</f>
        <v/>
      </c>
      <c r="K90" s="21">
        <f>SUMIFS(tblCashFlows[Contribution Amount],tblCashFlows[Entity],"Nat Trust",tblCashFlows[Transaction Date],"&gt;="&amp;A90,tblCashFlows[Transaction Date],"&lt;"&amp;EDATE(A90,1))</f>
        <v/>
      </c>
      <c r="L90" s="21">
        <f>SUMIFS(tblCashFlows[Distribution Amount],tblCashFlows[Entity],"Nat Trust",tblCashFlows[Transaction Date],"&gt;="&amp;A90,tblCashFlows[Transaction Date],"&lt;"&amp;EDATE(A90,1))</f>
        <v/>
      </c>
      <c r="M90" s="21">
        <f>L90-K90</f>
        <v/>
      </c>
      <c r="N90" s="21">
        <f>SUM(B90,E90,H90,K90)</f>
        <v/>
      </c>
      <c r="O90" s="21">
        <f>SUM(C90,F90,I90,L90)</f>
        <v/>
      </c>
      <c r="P90" s="21">
        <f>O90-N90</f>
        <v/>
      </c>
    </row>
    <row r="91">
      <c r="A91" s="26" t="n">
        <v>45839</v>
      </c>
      <c r="B91" s="21">
        <f>SUMIFS(tblCashFlows[Contribution Amount],tblCashFlows[Entity],"Beaman Ventures",tblCashFlows[Transaction Date],"&gt;="&amp;A91,tblCashFlows[Transaction Date],"&lt;"&amp;EDATE(A91,1))</f>
        <v/>
      </c>
      <c r="C91" s="21">
        <f>SUMIFS(tblCashFlows[Distribution Amount],tblCashFlows[Entity],"Beaman Ventures",tblCashFlows[Transaction Date],"&gt;="&amp;A91,tblCashFlows[Transaction Date],"&lt;"&amp;EDATE(A91,1))</f>
        <v/>
      </c>
      <c r="D91" s="21">
        <f>C91-B91</f>
        <v/>
      </c>
      <c r="E91" s="21">
        <f>SUMIFS(tblCashFlows[Contribution Amount],tblCashFlows[Entity],"Lee Beaman",tblCashFlows[Transaction Date],"&gt;="&amp;A91,tblCashFlows[Transaction Date],"&lt;"&amp;EDATE(A91,1))</f>
        <v/>
      </c>
      <c r="F91" s="21">
        <f>SUMIFS(tblCashFlows[Distribution Amount],tblCashFlows[Entity],"Lee Beaman",tblCashFlows[Transaction Date],"&gt;="&amp;A91,tblCashFlows[Transaction Date],"&lt;"&amp;EDATE(A91,1))</f>
        <v/>
      </c>
      <c r="G91" s="21">
        <f>F91-E91</f>
        <v/>
      </c>
      <c r="H91" s="21">
        <f>SUMIFS(tblCashFlows[Contribution Amount],tblCashFlows[Entity],"Kat Trust",tblCashFlows[Transaction Date],"&gt;="&amp;A91,tblCashFlows[Transaction Date],"&lt;"&amp;EDATE(A91,1))</f>
        <v/>
      </c>
      <c r="I91" s="21">
        <f>SUMIFS(tblCashFlows[Distribution Amount],tblCashFlows[Entity],"Kat Trust",tblCashFlows[Transaction Date],"&gt;="&amp;A91,tblCashFlows[Transaction Date],"&lt;"&amp;EDATE(A91,1))</f>
        <v/>
      </c>
      <c r="J91" s="21">
        <f>I91-H91</f>
        <v/>
      </c>
      <c r="K91" s="21">
        <f>SUMIFS(tblCashFlows[Contribution Amount],tblCashFlows[Entity],"Nat Trust",tblCashFlows[Transaction Date],"&gt;="&amp;A91,tblCashFlows[Transaction Date],"&lt;"&amp;EDATE(A91,1))</f>
        <v/>
      </c>
      <c r="L91" s="21">
        <f>SUMIFS(tblCashFlows[Distribution Amount],tblCashFlows[Entity],"Nat Trust",tblCashFlows[Transaction Date],"&gt;="&amp;A91,tblCashFlows[Transaction Date],"&lt;"&amp;EDATE(A91,1))</f>
        <v/>
      </c>
      <c r="M91" s="21">
        <f>L91-K91</f>
        <v/>
      </c>
      <c r="N91" s="21">
        <f>SUM(B91,E91,H91,K91)</f>
        <v/>
      </c>
      <c r="O91" s="21">
        <f>SUM(C91,F91,I91,L91)</f>
        <v/>
      </c>
      <c r="P91" s="21">
        <f>O91-N91</f>
        <v/>
      </c>
    </row>
    <row r="92">
      <c r="A92" s="26" t="n">
        <v>45870</v>
      </c>
      <c r="B92" s="21">
        <f>SUMIFS(tblCashFlows[Contribution Amount],tblCashFlows[Entity],"Beaman Ventures",tblCashFlows[Transaction Date],"&gt;="&amp;A92,tblCashFlows[Transaction Date],"&lt;"&amp;EDATE(A92,1))</f>
        <v/>
      </c>
      <c r="C92" s="21">
        <f>SUMIFS(tblCashFlows[Distribution Amount],tblCashFlows[Entity],"Beaman Ventures",tblCashFlows[Transaction Date],"&gt;="&amp;A92,tblCashFlows[Transaction Date],"&lt;"&amp;EDATE(A92,1))</f>
        <v/>
      </c>
      <c r="D92" s="21">
        <f>C92-B92</f>
        <v/>
      </c>
      <c r="E92" s="21">
        <f>SUMIFS(tblCashFlows[Contribution Amount],tblCashFlows[Entity],"Lee Beaman",tblCashFlows[Transaction Date],"&gt;="&amp;A92,tblCashFlows[Transaction Date],"&lt;"&amp;EDATE(A92,1))</f>
        <v/>
      </c>
      <c r="F92" s="21">
        <f>SUMIFS(tblCashFlows[Distribution Amount],tblCashFlows[Entity],"Lee Beaman",tblCashFlows[Transaction Date],"&gt;="&amp;A92,tblCashFlows[Transaction Date],"&lt;"&amp;EDATE(A92,1))</f>
        <v/>
      </c>
      <c r="G92" s="21">
        <f>F92-E92</f>
        <v/>
      </c>
      <c r="H92" s="21">
        <f>SUMIFS(tblCashFlows[Contribution Amount],tblCashFlows[Entity],"Kat Trust",tblCashFlows[Transaction Date],"&gt;="&amp;A92,tblCashFlows[Transaction Date],"&lt;"&amp;EDATE(A92,1))</f>
        <v/>
      </c>
      <c r="I92" s="21">
        <f>SUMIFS(tblCashFlows[Distribution Amount],tblCashFlows[Entity],"Kat Trust",tblCashFlows[Transaction Date],"&gt;="&amp;A92,tblCashFlows[Transaction Date],"&lt;"&amp;EDATE(A92,1))</f>
        <v/>
      </c>
      <c r="J92" s="21">
        <f>I92-H92</f>
        <v/>
      </c>
      <c r="K92" s="21">
        <f>SUMIFS(tblCashFlows[Contribution Amount],tblCashFlows[Entity],"Nat Trust",tblCashFlows[Transaction Date],"&gt;="&amp;A92,tblCashFlows[Transaction Date],"&lt;"&amp;EDATE(A92,1))</f>
        <v/>
      </c>
      <c r="L92" s="21">
        <f>SUMIFS(tblCashFlows[Distribution Amount],tblCashFlows[Entity],"Nat Trust",tblCashFlows[Transaction Date],"&gt;="&amp;A92,tblCashFlows[Transaction Date],"&lt;"&amp;EDATE(A92,1))</f>
        <v/>
      </c>
      <c r="M92" s="21">
        <f>L92-K92</f>
        <v/>
      </c>
      <c r="N92" s="21">
        <f>SUM(B92,E92,H92,K92)</f>
        <v/>
      </c>
      <c r="O92" s="21">
        <f>SUM(C92,F92,I92,L92)</f>
        <v/>
      </c>
      <c r="P92" s="21">
        <f>O92-N92</f>
        <v/>
      </c>
    </row>
    <row r="93">
      <c r="A93" s="26" t="n">
        <v>45901</v>
      </c>
      <c r="B93" s="21">
        <f>SUMIFS(tblCashFlows[Contribution Amount],tblCashFlows[Entity],"Beaman Ventures",tblCashFlows[Transaction Date],"&gt;="&amp;A93,tblCashFlows[Transaction Date],"&lt;"&amp;EDATE(A93,1))</f>
        <v/>
      </c>
      <c r="C93" s="21">
        <f>SUMIFS(tblCashFlows[Distribution Amount],tblCashFlows[Entity],"Beaman Ventures",tblCashFlows[Transaction Date],"&gt;="&amp;A93,tblCashFlows[Transaction Date],"&lt;"&amp;EDATE(A93,1))</f>
        <v/>
      </c>
      <c r="D93" s="21">
        <f>C93-B93</f>
        <v/>
      </c>
      <c r="E93" s="21">
        <f>SUMIFS(tblCashFlows[Contribution Amount],tblCashFlows[Entity],"Lee Beaman",tblCashFlows[Transaction Date],"&gt;="&amp;A93,tblCashFlows[Transaction Date],"&lt;"&amp;EDATE(A93,1))</f>
        <v/>
      </c>
      <c r="F93" s="21">
        <f>SUMIFS(tblCashFlows[Distribution Amount],tblCashFlows[Entity],"Lee Beaman",tblCashFlows[Transaction Date],"&gt;="&amp;A93,tblCashFlows[Transaction Date],"&lt;"&amp;EDATE(A93,1))</f>
        <v/>
      </c>
      <c r="G93" s="21">
        <f>F93-E93</f>
        <v/>
      </c>
      <c r="H93" s="21">
        <f>SUMIFS(tblCashFlows[Contribution Amount],tblCashFlows[Entity],"Kat Trust",tblCashFlows[Transaction Date],"&gt;="&amp;A93,tblCashFlows[Transaction Date],"&lt;"&amp;EDATE(A93,1))</f>
        <v/>
      </c>
      <c r="I93" s="21">
        <f>SUMIFS(tblCashFlows[Distribution Amount],tblCashFlows[Entity],"Kat Trust",tblCashFlows[Transaction Date],"&gt;="&amp;A93,tblCashFlows[Transaction Date],"&lt;"&amp;EDATE(A93,1))</f>
        <v/>
      </c>
      <c r="J93" s="21">
        <f>I93-H93</f>
        <v/>
      </c>
      <c r="K93" s="21">
        <f>SUMIFS(tblCashFlows[Contribution Amount],tblCashFlows[Entity],"Nat Trust",tblCashFlows[Transaction Date],"&gt;="&amp;A93,tblCashFlows[Transaction Date],"&lt;"&amp;EDATE(A93,1))</f>
        <v/>
      </c>
      <c r="L93" s="21">
        <f>SUMIFS(tblCashFlows[Distribution Amount],tblCashFlows[Entity],"Nat Trust",tblCashFlows[Transaction Date],"&gt;="&amp;A93,tblCashFlows[Transaction Date],"&lt;"&amp;EDATE(A93,1))</f>
        <v/>
      </c>
      <c r="M93" s="21">
        <f>L93-K93</f>
        <v/>
      </c>
      <c r="N93" s="21">
        <f>SUM(B93,E93,H93,K93)</f>
        <v/>
      </c>
      <c r="O93" s="21">
        <f>SUM(C93,F93,I93,L93)</f>
        <v/>
      </c>
      <c r="P93" s="21">
        <f>O93-N93</f>
        <v/>
      </c>
    </row>
    <row r="94">
      <c r="A94" s="26" t="n">
        <v>45931</v>
      </c>
      <c r="B94" s="21">
        <f>SUMIFS(tblCashFlows[Contribution Amount],tblCashFlows[Entity],"Beaman Ventures",tblCashFlows[Transaction Date],"&gt;="&amp;A94,tblCashFlows[Transaction Date],"&lt;"&amp;EDATE(A94,1))</f>
        <v/>
      </c>
      <c r="C94" s="21">
        <f>SUMIFS(tblCashFlows[Distribution Amount],tblCashFlows[Entity],"Beaman Ventures",tblCashFlows[Transaction Date],"&gt;="&amp;A94,tblCashFlows[Transaction Date],"&lt;"&amp;EDATE(A94,1))</f>
        <v/>
      </c>
      <c r="D94" s="21">
        <f>C94-B94</f>
        <v/>
      </c>
      <c r="E94" s="21">
        <f>SUMIFS(tblCashFlows[Contribution Amount],tblCashFlows[Entity],"Lee Beaman",tblCashFlows[Transaction Date],"&gt;="&amp;A94,tblCashFlows[Transaction Date],"&lt;"&amp;EDATE(A94,1))</f>
        <v/>
      </c>
      <c r="F94" s="21">
        <f>SUMIFS(tblCashFlows[Distribution Amount],tblCashFlows[Entity],"Lee Beaman",tblCashFlows[Transaction Date],"&gt;="&amp;A94,tblCashFlows[Transaction Date],"&lt;"&amp;EDATE(A94,1))</f>
        <v/>
      </c>
      <c r="G94" s="21">
        <f>F94-E94</f>
        <v/>
      </c>
      <c r="H94" s="21">
        <f>SUMIFS(tblCashFlows[Contribution Amount],tblCashFlows[Entity],"Kat Trust",tblCashFlows[Transaction Date],"&gt;="&amp;A94,tblCashFlows[Transaction Date],"&lt;"&amp;EDATE(A94,1))</f>
        <v/>
      </c>
      <c r="I94" s="21">
        <f>SUMIFS(tblCashFlows[Distribution Amount],tblCashFlows[Entity],"Kat Trust",tblCashFlows[Transaction Date],"&gt;="&amp;A94,tblCashFlows[Transaction Date],"&lt;"&amp;EDATE(A94,1))</f>
        <v/>
      </c>
      <c r="J94" s="21">
        <f>I94-H94</f>
        <v/>
      </c>
      <c r="K94" s="21">
        <f>SUMIFS(tblCashFlows[Contribution Amount],tblCashFlows[Entity],"Nat Trust",tblCashFlows[Transaction Date],"&gt;="&amp;A94,tblCashFlows[Transaction Date],"&lt;"&amp;EDATE(A94,1))</f>
        <v/>
      </c>
      <c r="L94" s="21">
        <f>SUMIFS(tblCashFlows[Distribution Amount],tblCashFlows[Entity],"Nat Trust",tblCashFlows[Transaction Date],"&gt;="&amp;A94,tblCashFlows[Transaction Date],"&lt;"&amp;EDATE(A94,1))</f>
        <v/>
      </c>
      <c r="M94" s="21">
        <f>L94-K94</f>
        <v/>
      </c>
      <c r="N94" s="21">
        <f>SUM(B94,E94,H94,K94)</f>
        <v/>
      </c>
      <c r="O94" s="21">
        <f>SUM(C94,F94,I94,L94)</f>
        <v/>
      </c>
      <c r="P94" s="21">
        <f>O94-N94</f>
        <v/>
      </c>
    </row>
    <row r="95">
      <c r="A95" s="26" t="n">
        <v>45962</v>
      </c>
      <c r="B95" s="21">
        <f>SUMIFS(tblCashFlows[Contribution Amount],tblCashFlows[Entity],"Beaman Ventures",tblCashFlows[Transaction Date],"&gt;="&amp;A95,tblCashFlows[Transaction Date],"&lt;"&amp;EDATE(A95,1))</f>
        <v/>
      </c>
      <c r="C95" s="21">
        <f>SUMIFS(tblCashFlows[Distribution Amount],tblCashFlows[Entity],"Beaman Ventures",tblCashFlows[Transaction Date],"&gt;="&amp;A95,tblCashFlows[Transaction Date],"&lt;"&amp;EDATE(A95,1))</f>
        <v/>
      </c>
      <c r="D95" s="21">
        <f>C95-B95</f>
        <v/>
      </c>
      <c r="E95" s="21">
        <f>SUMIFS(tblCashFlows[Contribution Amount],tblCashFlows[Entity],"Lee Beaman",tblCashFlows[Transaction Date],"&gt;="&amp;A95,tblCashFlows[Transaction Date],"&lt;"&amp;EDATE(A95,1))</f>
        <v/>
      </c>
      <c r="F95" s="21">
        <f>SUMIFS(tblCashFlows[Distribution Amount],tblCashFlows[Entity],"Lee Beaman",tblCashFlows[Transaction Date],"&gt;="&amp;A95,tblCashFlows[Transaction Date],"&lt;"&amp;EDATE(A95,1))</f>
        <v/>
      </c>
      <c r="G95" s="21">
        <f>F95-E95</f>
        <v/>
      </c>
      <c r="H95" s="21">
        <f>SUMIFS(tblCashFlows[Contribution Amount],tblCashFlows[Entity],"Kat Trust",tblCashFlows[Transaction Date],"&gt;="&amp;A95,tblCashFlows[Transaction Date],"&lt;"&amp;EDATE(A95,1))</f>
        <v/>
      </c>
      <c r="I95" s="21">
        <f>SUMIFS(tblCashFlows[Distribution Amount],tblCashFlows[Entity],"Kat Trust",tblCashFlows[Transaction Date],"&gt;="&amp;A95,tblCashFlows[Transaction Date],"&lt;"&amp;EDATE(A95,1))</f>
        <v/>
      </c>
      <c r="J95" s="21">
        <f>I95-H95</f>
        <v/>
      </c>
      <c r="K95" s="21">
        <f>SUMIFS(tblCashFlows[Contribution Amount],tblCashFlows[Entity],"Nat Trust",tblCashFlows[Transaction Date],"&gt;="&amp;A95,tblCashFlows[Transaction Date],"&lt;"&amp;EDATE(A95,1))</f>
        <v/>
      </c>
      <c r="L95" s="21">
        <f>SUMIFS(tblCashFlows[Distribution Amount],tblCashFlows[Entity],"Nat Trust",tblCashFlows[Transaction Date],"&gt;="&amp;A95,tblCashFlows[Transaction Date],"&lt;"&amp;EDATE(A95,1))</f>
        <v/>
      </c>
      <c r="M95" s="21">
        <f>L95-K95</f>
        <v/>
      </c>
      <c r="N95" s="21">
        <f>SUM(B95,E95,H95,K95)</f>
        <v/>
      </c>
      <c r="O95" s="21">
        <f>SUM(C95,F95,I95,L95)</f>
        <v/>
      </c>
      <c r="P95" s="21">
        <f>O95-N95</f>
        <v/>
      </c>
    </row>
    <row r="96">
      <c r="A96" s="26" t="n">
        <v>45992</v>
      </c>
      <c r="B96" s="21">
        <f>SUMIFS(tblCashFlows[Contribution Amount],tblCashFlows[Entity],"Beaman Ventures",tblCashFlows[Transaction Date],"&gt;="&amp;A96,tblCashFlows[Transaction Date],"&lt;"&amp;EDATE(A96,1))</f>
        <v/>
      </c>
      <c r="C96" s="21">
        <f>SUMIFS(tblCashFlows[Distribution Amount],tblCashFlows[Entity],"Beaman Ventures",tblCashFlows[Transaction Date],"&gt;="&amp;A96,tblCashFlows[Transaction Date],"&lt;"&amp;EDATE(A96,1))</f>
        <v/>
      </c>
      <c r="D96" s="21">
        <f>C96-B96</f>
        <v/>
      </c>
      <c r="E96" s="21">
        <f>SUMIFS(tblCashFlows[Contribution Amount],tblCashFlows[Entity],"Lee Beaman",tblCashFlows[Transaction Date],"&gt;="&amp;A96,tblCashFlows[Transaction Date],"&lt;"&amp;EDATE(A96,1))</f>
        <v/>
      </c>
      <c r="F96" s="21">
        <f>SUMIFS(tblCashFlows[Distribution Amount],tblCashFlows[Entity],"Lee Beaman",tblCashFlows[Transaction Date],"&gt;="&amp;A96,tblCashFlows[Transaction Date],"&lt;"&amp;EDATE(A96,1))</f>
        <v/>
      </c>
      <c r="G96" s="21">
        <f>F96-E96</f>
        <v/>
      </c>
      <c r="H96" s="21">
        <f>SUMIFS(tblCashFlows[Contribution Amount],tblCashFlows[Entity],"Kat Trust",tblCashFlows[Transaction Date],"&gt;="&amp;A96,tblCashFlows[Transaction Date],"&lt;"&amp;EDATE(A96,1))</f>
        <v/>
      </c>
      <c r="I96" s="21">
        <f>SUMIFS(tblCashFlows[Distribution Amount],tblCashFlows[Entity],"Kat Trust",tblCashFlows[Transaction Date],"&gt;="&amp;A96,tblCashFlows[Transaction Date],"&lt;"&amp;EDATE(A96,1))</f>
        <v/>
      </c>
      <c r="J96" s="21">
        <f>I96-H96</f>
        <v/>
      </c>
      <c r="K96" s="21">
        <f>SUMIFS(tblCashFlows[Contribution Amount],tblCashFlows[Entity],"Nat Trust",tblCashFlows[Transaction Date],"&gt;="&amp;A96,tblCashFlows[Transaction Date],"&lt;"&amp;EDATE(A96,1))</f>
        <v/>
      </c>
      <c r="L96" s="21">
        <f>SUMIFS(tblCashFlows[Distribution Amount],tblCashFlows[Entity],"Nat Trust",tblCashFlows[Transaction Date],"&gt;="&amp;A96,tblCashFlows[Transaction Date],"&lt;"&amp;EDATE(A96,1))</f>
        <v/>
      </c>
      <c r="M96" s="21">
        <f>L96-K96</f>
        <v/>
      </c>
      <c r="N96" s="21">
        <f>SUM(B96,E96,H96,K96)</f>
        <v/>
      </c>
      <c r="O96" s="21">
        <f>SUM(C96,F96,I96,L96)</f>
        <v/>
      </c>
      <c r="P96" s="21">
        <f>O96-N96</f>
        <v/>
      </c>
    </row>
    <row r="97">
      <c r="A97" s="26" t="n">
        <v>46023</v>
      </c>
      <c r="B97" s="21">
        <f>SUMIFS(tblCashFlows[Contribution Amount],tblCashFlows[Entity],"Beaman Ventures",tblCashFlows[Transaction Date],"&gt;="&amp;A97,tblCashFlows[Transaction Date],"&lt;"&amp;EDATE(A97,1))</f>
        <v/>
      </c>
      <c r="C97" s="21">
        <f>SUMIFS(tblCashFlows[Distribution Amount],tblCashFlows[Entity],"Beaman Ventures",tblCashFlows[Transaction Date],"&gt;="&amp;A97,tblCashFlows[Transaction Date],"&lt;"&amp;EDATE(A97,1))</f>
        <v/>
      </c>
      <c r="D97" s="21">
        <f>C97-B97</f>
        <v/>
      </c>
      <c r="E97" s="21">
        <f>SUMIFS(tblCashFlows[Contribution Amount],tblCashFlows[Entity],"Lee Beaman",tblCashFlows[Transaction Date],"&gt;="&amp;A97,tblCashFlows[Transaction Date],"&lt;"&amp;EDATE(A97,1))</f>
        <v/>
      </c>
      <c r="F97" s="21">
        <f>SUMIFS(tblCashFlows[Distribution Amount],tblCashFlows[Entity],"Lee Beaman",tblCashFlows[Transaction Date],"&gt;="&amp;A97,tblCashFlows[Transaction Date],"&lt;"&amp;EDATE(A97,1))</f>
        <v/>
      </c>
      <c r="G97" s="21">
        <f>F97-E97</f>
        <v/>
      </c>
      <c r="H97" s="21">
        <f>SUMIFS(tblCashFlows[Contribution Amount],tblCashFlows[Entity],"Kat Trust",tblCashFlows[Transaction Date],"&gt;="&amp;A97,tblCashFlows[Transaction Date],"&lt;"&amp;EDATE(A97,1))</f>
        <v/>
      </c>
      <c r="I97" s="21">
        <f>SUMIFS(tblCashFlows[Distribution Amount],tblCashFlows[Entity],"Kat Trust",tblCashFlows[Transaction Date],"&gt;="&amp;A97,tblCashFlows[Transaction Date],"&lt;"&amp;EDATE(A97,1))</f>
        <v/>
      </c>
      <c r="J97" s="21">
        <f>I97-H97</f>
        <v/>
      </c>
      <c r="K97" s="21">
        <f>SUMIFS(tblCashFlows[Contribution Amount],tblCashFlows[Entity],"Nat Trust",tblCashFlows[Transaction Date],"&gt;="&amp;A97,tblCashFlows[Transaction Date],"&lt;"&amp;EDATE(A97,1))</f>
        <v/>
      </c>
      <c r="L97" s="21">
        <f>SUMIFS(tblCashFlows[Distribution Amount],tblCashFlows[Entity],"Nat Trust",tblCashFlows[Transaction Date],"&gt;="&amp;A97,tblCashFlows[Transaction Date],"&lt;"&amp;EDATE(A97,1))</f>
        <v/>
      </c>
      <c r="M97" s="21">
        <f>L97-K97</f>
        <v/>
      </c>
      <c r="N97" s="21">
        <f>SUM(B97,E97,H97,K97)</f>
        <v/>
      </c>
      <c r="O97" s="21">
        <f>SUM(C97,F97,I97,L97)</f>
        <v/>
      </c>
      <c r="P97" s="21">
        <f>O97-N97</f>
        <v/>
      </c>
    </row>
    <row r="98">
      <c r="A98" s="26" t="n">
        <v>46054</v>
      </c>
      <c r="B98" s="21">
        <f>SUMIFS(tblCashFlows[Contribution Amount],tblCashFlows[Entity],"Beaman Ventures",tblCashFlows[Transaction Date],"&gt;="&amp;A98,tblCashFlows[Transaction Date],"&lt;"&amp;EDATE(A98,1))</f>
        <v/>
      </c>
      <c r="C98" s="21">
        <f>SUMIFS(tblCashFlows[Distribution Amount],tblCashFlows[Entity],"Beaman Ventures",tblCashFlows[Transaction Date],"&gt;="&amp;A98,tblCashFlows[Transaction Date],"&lt;"&amp;EDATE(A98,1))</f>
        <v/>
      </c>
      <c r="D98" s="21">
        <f>C98-B98</f>
        <v/>
      </c>
      <c r="E98" s="21">
        <f>SUMIFS(tblCashFlows[Contribution Amount],tblCashFlows[Entity],"Lee Beaman",tblCashFlows[Transaction Date],"&gt;="&amp;A98,tblCashFlows[Transaction Date],"&lt;"&amp;EDATE(A98,1))</f>
        <v/>
      </c>
      <c r="F98" s="21">
        <f>SUMIFS(tblCashFlows[Distribution Amount],tblCashFlows[Entity],"Lee Beaman",tblCashFlows[Transaction Date],"&gt;="&amp;A98,tblCashFlows[Transaction Date],"&lt;"&amp;EDATE(A98,1))</f>
        <v/>
      </c>
      <c r="G98" s="21">
        <f>F98-E98</f>
        <v/>
      </c>
      <c r="H98" s="21">
        <f>SUMIFS(tblCashFlows[Contribution Amount],tblCashFlows[Entity],"Kat Trust",tblCashFlows[Transaction Date],"&gt;="&amp;A98,tblCashFlows[Transaction Date],"&lt;"&amp;EDATE(A98,1))</f>
        <v/>
      </c>
      <c r="I98" s="21">
        <f>SUMIFS(tblCashFlows[Distribution Amount],tblCashFlows[Entity],"Kat Trust",tblCashFlows[Transaction Date],"&gt;="&amp;A98,tblCashFlows[Transaction Date],"&lt;"&amp;EDATE(A98,1))</f>
        <v/>
      </c>
      <c r="J98" s="21">
        <f>I98-H98</f>
        <v/>
      </c>
      <c r="K98" s="21">
        <f>SUMIFS(tblCashFlows[Contribution Amount],tblCashFlows[Entity],"Nat Trust",tblCashFlows[Transaction Date],"&gt;="&amp;A98,tblCashFlows[Transaction Date],"&lt;"&amp;EDATE(A98,1))</f>
        <v/>
      </c>
      <c r="L98" s="21">
        <f>SUMIFS(tblCashFlows[Distribution Amount],tblCashFlows[Entity],"Nat Trust",tblCashFlows[Transaction Date],"&gt;="&amp;A98,tblCashFlows[Transaction Date],"&lt;"&amp;EDATE(A98,1))</f>
        <v/>
      </c>
      <c r="M98" s="21">
        <f>L98-K98</f>
        <v/>
      </c>
      <c r="N98" s="21">
        <f>SUM(B98,E98,H98,K98)</f>
        <v/>
      </c>
      <c r="O98" s="21">
        <f>SUM(C98,F98,I98,L98)</f>
        <v/>
      </c>
      <c r="P98" s="21">
        <f>O98-N98</f>
        <v/>
      </c>
    </row>
    <row r="99">
      <c r="A99" s="26" t="n">
        <v>46082</v>
      </c>
      <c r="B99" s="21">
        <f>SUMIFS(tblCashFlows[Contribution Amount],tblCashFlows[Entity],"Beaman Ventures",tblCashFlows[Transaction Date],"&gt;="&amp;A99,tblCashFlows[Transaction Date],"&lt;"&amp;EDATE(A99,1))</f>
        <v/>
      </c>
      <c r="C99" s="21">
        <f>SUMIFS(tblCashFlows[Distribution Amount],tblCashFlows[Entity],"Beaman Ventures",tblCashFlows[Transaction Date],"&gt;="&amp;A99,tblCashFlows[Transaction Date],"&lt;"&amp;EDATE(A99,1))</f>
        <v/>
      </c>
      <c r="D99" s="21">
        <f>C99-B99</f>
        <v/>
      </c>
      <c r="E99" s="21">
        <f>SUMIFS(tblCashFlows[Contribution Amount],tblCashFlows[Entity],"Lee Beaman",tblCashFlows[Transaction Date],"&gt;="&amp;A99,tblCashFlows[Transaction Date],"&lt;"&amp;EDATE(A99,1))</f>
        <v/>
      </c>
      <c r="F99" s="21">
        <f>SUMIFS(tblCashFlows[Distribution Amount],tblCashFlows[Entity],"Lee Beaman",tblCashFlows[Transaction Date],"&gt;="&amp;A99,tblCashFlows[Transaction Date],"&lt;"&amp;EDATE(A99,1))</f>
        <v/>
      </c>
      <c r="G99" s="21">
        <f>F99-E99</f>
        <v/>
      </c>
      <c r="H99" s="21">
        <f>SUMIFS(tblCashFlows[Contribution Amount],tblCashFlows[Entity],"Kat Trust",tblCashFlows[Transaction Date],"&gt;="&amp;A99,tblCashFlows[Transaction Date],"&lt;"&amp;EDATE(A99,1))</f>
        <v/>
      </c>
      <c r="I99" s="21">
        <f>SUMIFS(tblCashFlows[Distribution Amount],tblCashFlows[Entity],"Kat Trust",tblCashFlows[Transaction Date],"&gt;="&amp;A99,tblCashFlows[Transaction Date],"&lt;"&amp;EDATE(A99,1))</f>
        <v/>
      </c>
      <c r="J99" s="21">
        <f>I99-H99</f>
        <v/>
      </c>
      <c r="K99" s="21">
        <f>SUMIFS(tblCashFlows[Contribution Amount],tblCashFlows[Entity],"Nat Trust",tblCashFlows[Transaction Date],"&gt;="&amp;A99,tblCashFlows[Transaction Date],"&lt;"&amp;EDATE(A99,1))</f>
        <v/>
      </c>
      <c r="L99" s="21">
        <f>SUMIFS(tblCashFlows[Distribution Amount],tblCashFlows[Entity],"Nat Trust",tblCashFlows[Transaction Date],"&gt;="&amp;A99,tblCashFlows[Transaction Date],"&lt;"&amp;EDATE(A99,1))</f>
        <v/>
      </c>
      <c r="M99" s="21">
        <f>L99-K99</f>
        <v/>
      </c>
      <c r="N99" s="21">
        <f>SUM(B99,E99,H99,K99)</f>
        <v/>
      </c>
      <c r="O99" s="21">
        <f>SUM(C99,F99,I99,L99)</f>
        <v/>
      </c>
      <c r="P99" s="21">
        <f>O99-N99</f>
        <v/>
      </c>
    </row>
    <row r="100">
      <c r="A100" s="26" t="n">
        <v>46113</v>
      </c>
      <c r="B100" s="21">
        <f>SUMIFS(tblCashFlows[Contribution Amount],tblCashFlows[Entity],"Beaman Ventures",tblCashFlows[Transaction Date],"&gt;="&amp;A100,tblCashFlows[Transaction Date],"&lt;"&amp;EDATE(A100,1))</f>
        <v/>
      </c>
      <c r="C100" s="21">
        <f>SUMIFS(tblCashFlows[Distribution Amount],tblCashFlows[Entity],"Beaman Ventures",tblCashFlows[Transaction Date],"&gt;="&amp;A100,tblCashFlows[Transaction Date],"&lt;"&amp;EDATE(A100,1))</f>
        <v/>
      </c>
      <c r="D100" s="21">
        <f>C100-B100</f>
        <v/>
      </c>
      <c r="E100" s="21">
        <f>SUMIFS(tblCashFlows[Contribution Amount],tblCashFlows[Entity],"Lee Beaman",tblCashFlows[Transaction Date],"&gt;="&amp;A100,tblCashFlows[Transaction Date],"&lt;"&amp;EDATE(A100,1))</f>
        <v/>
      </c>
      <c r="F100" s="21">
        <f>SUMIFS(tblCashFlows[Distribution Amount],tblCashFlows[Entity],"Lee Beaman",tblCashFlows[Transaction Date],"&gt;="&amp;A100,tblCashFlows[Transaction Date],"&lt;"&amp;EDATE(A100,1))</f>
        <v/>
      </c>
      <c r="G100" s="21">
        <f>F100-E100</f>
        <v/>
      </c>
      <c r="H100" s="21">
        <f>SUMIFS(tblCashFlows[Contribution Amount],tblCashFlows[Entity],"Kat Trust",tblCashFlows[Transaction Date],"&gt;="&amp;A100,tblCashFlows[Transaction Date],"&lt;"&amp;EDATE(A100,1))</f>
        <v/>
      </c>
      <c r="I100" s="21">
        <f>SUMIFS(tblCashFlows[Distribution Amount],tblCashFlows[Entity],"Kat Trust",tblCashFlows[Transaction Date],"&gt;="&amp;A100,tblCashFlows[Transaction Date],"&lt;"&amp;EDATE(A100,1))</f>
        <v/>
      </c>
      <c r="J100" s="21">
        <f>I100-H100</f>
        <v/>
      </c>
      <c r="K100" s="21">
        <f>SUMIFS(tblCashFlows[Contribution Amount],tblCashFlows[Entity],"Nat Trust",tblCashFlows[Transaction Date],"&gt;="&amp;A100,tblCashFlows[Transaction Date],"&lt;"&amp;EDATE(A100,1))</f>
        <v/>
      </c>
      <c r="L100" s="21">
        <f>SUMIFS(tblCashFlows[Distribution Amount],tblCashFlows[Entity],"Nat Trust",tblCashFlows[Transaction Date],"&gt;="&amp;A100,tblCashFlows[Transaction Date],"&lt;"&amp;EDATE(A100,1))</f>
        <v/>
      </c>
      <c r="M100" s="21">
        <f>L100-K100</f>
        <v/>
      </c>
      <c r="N100" s="21">
        <f>SUM(B100,E100,H100,K100)</f>
        <v/>
      </c>
      <c r="O100" s="21">
        <f>SUM(C100,F100,I100,L100)</f>
        <v/>
      </c>
      <c r="P100" s="21">
        <f>O100-N100</f>
        <v/>
      </c>
    </row>
    <row r="101">
      <c r="A101" s="26" t="n">
        <v>46143</v>
      </c>
      <c r="B101" s="21">
        <f>SUMIFS(tblCashFlows[Contribution Amount],tblCashFlows[Entity],"Beaman Ventures",tblCashFlows[Transaction Date],"&gt;="&amp;A101,tblCashFlows[Transaction Date],"&lt;"&amp;EDATE(A101,1))</f>
        <v/>
      </c>
      <c r="C101" s="21">
        <f>SUMIFS(tblCashFlows[Distribution Amount],tblCashFlows[Entity],"Beaman Ventures",tblCashFlows[Transaction Date],"&gt;="&amp;A101,tblCashFlows[Transaction Date],"&lt;"&amp;EDATE(A101,1))</f>
        <v/>
      </c>
      <c r="D101" s="21">
        <f>C101-B101</f>
        <v/>
      </c>
      <c r="E101" s="21">
        <f>SUMIFS(tblCashFlows[Contribution Amount],tblCashFlows[Entity],"Lee Beaman",tblCashFlows[Transaction Date],"&gt;="&amp;A101,tblCashFlows[Transaction Date],"&lt;"&amp;EDATE(A101,1))</f>
        <v/>
      </c>
      <c r="F101" s="21">
        <f>SUMIFS(tblCashFlows[Distribution Amount],tblCashFlows[Entity],"Lee Beaman",tblCashFlows[Transaction Date],"&gt;="&amp;A101,tblCashFlows[Transaction Date],"&lt;"&amp;EDATE(A101,1))</f>
        <v/>
      </c>
      <c r="G101" s="21">
        <f>F101-E101</f>
        <v/>
      </c>
      <c r="H101" s="21">
        <f>SUMIFS(tblCashFlows[Contribution Amount],tblCashFlows[Entity],"Kat Trust",tblCashFlows[Transaction Date],"&gt;="&amp;A101,tblCashFlows[Transaction Date],"&lt;"&amp;EDATE(A101,1))</f>
        <v/>
      </c>
      <c r="I101" s="21">
        <f>SUMIFS(tblCashFlows[Distribution Amount],tblCashFlows[Entity],"Kat Trust",tblCashFlows[Transaction Date],"&gt;="&amp;A101,tblCashFlows[Transaction Date],"&lt;"&amp;EDATE(A101,1))</f>
        <v/>
      </c>
      <c r="J101" s="21">
        <f>I101-H101</f>
        <v/>
      </c>
      <c r="K101" s="21">
        <f>SUMIFS(tblCashFlows[Contribution Amount],tblCashFlows[Entity],"Nat Trust",tblCashFlows[Transaction Date],"&gt;="&amp;A101,tblCashFlows[Transaction Date],"&lt;"&amp;EDATE(A101,1))</f>
        <v/>
      </c>
      <c r="L101" s="21">
        <f>SUMIFS(tblCashFlows[Distribution Amount],tblCashFlows[Entity],"Nat Trust",tblCashFlows[Transaction Date],"&gt;="&amp;A101,tblCashFlows[Transaction Date],"&lt;"&amp;EDATE(A101,1))</f>
        <v/>
      </c>
      <c r="M101" s="21">
        <f>L101-K101</f>
        <v/>
      </c>
      <c r="N101" s="21">
        <f>SUM(B101,E101,H101,K101)</f>
        <v/>
      </c>
      <c r="O101" s="21">
        <f>SUM(C101,F101,I101,L101)</f>
        <v/>
      </c>
      <c r="P101" s="21">
        <f>O101-N101</f>
        <v/>
      </c>
    </row>
    <row r="102">
      <c r="A102" s="26" t="n">
        <v>46174</v>
      </c>
      <c r="B102" s="21">
        <f>SUMIFS(tblCashFlows[Contribution Amount],tblCashFlows[Entity],"Beaman Ventures",tblCashFlows[Transaction Date],"&gt;="&amp;A102,tblCashFlows[Transaction Date],"&lt;"&amp;EDATE(A102,1))</f>
        <v/>
      </c>
      <c r="C102" s="21">
        <f>SUMIFS(tblCashFlows[Distribution Amount],tblCashFlows[Entity],"Beaman Ventures",tblCashFlows[Transaction Date],"&gt;="&amp;A102,tblCashFlows[Transaction Date],"&lt;"&amp;EDATE(A102,1))</f>
        <v/>
      </c>
      <c r="D102" s="21">
        <f>C102-B102</f>
        <v/>
      </c>
      <c r="E102" s="21">
        <f>SUMIFS(tblCashFlows[Contribution Amount],tblCashFlows[Entity],"Lee Beaman",tblCashFlows[Transaction Date],"&gt;="&amp;A102,tblCashFlows[Transaction Date],"&lt;"&amp;EDATE(A102,1))</f>
        <v/>
      </c>
      <c r="F102" s="21">
        <f>SUMIFS(tblCashFlows[Distribution Amount],tblCashFlows[Entity],"Lee Beaman",tblCashFlows[Transaction Date],"&gt;="&amp;A102,tblCashFlows[Transaction Date],"&lt;"&amp;EDATE(A102,1))</f>
        <v/>
      </c>
      <c r="G102" s="21">
        <f>F102-E102</f>
        <v/>
      </c>
      <c r="H102" s="21">
        <f>SUMIFS(tblCashFlows[Contribution Amount],tblCashFlows[Entity],"Kat Trust",tblCashFlows[Transaction Date],"&gt;="&amp;A102,tblCashFlows[Transaction Date],"&lt;"&amp;EDATE(A102,1))</f>
        <v/>
      </c>
      <c r="I102" s="21">
        <f>SUMIFS(tblCashFlows[Distribution Amount],tblCashFlows[Entity],"Kat Trust",tblCashFlows[Transaction Date],"&gt;="&amp;A102,tblCashFlows[Transaction Date],"&lt;"&amp;EDATE(A102,1))</f>
        <v/>
      </c>
      <c r="J102" s="21">
        <f>I102-H102</f>
        <v/>
      </c>
      <c r="K102" s="21">
        <f>SUMIFS(tblCashFlows[Contribution Amount],tblCashFlows[Entity],"Nat Trust",tblCashFlows[Transaction Date],"&gt;="&amp;A102,tblCashFlows[Transaction Date],"&lt;"&amp;EDATE(A102,1))</f>
        <v/>
      </c>
      <c r="L102" s="21">
        <f>SUMIFS(tblCashFlows[Distribution Amount],tblCashFlows[Entity],"Nat Trust",tblCashFlows[Transaction Date],"&gt;="&amp;A102,tblCashFlows[Transaction Date],"&lt;"&amp;EDATE(A102,1))</f>
        <v/>
      </c>
      <c r="M102" s="21">
        <f>L102-K102</f>
        <v/>
      </c>
      <c r="N102" s="21">
        <f>SUM(B102,E102,H102,K102)</f>
        <v/>
      </c>
      <c r="O102" s="21">
        <f>SUM(C102,F102,I102,L102)</f>
        <v/>
      </c>
      <c r="P102" s="21">
        <f>O102-N102</f>
        <v/>
      </c>
    </row>
    <row r="103">
      <c r="A103" s="26" t="n">
        <v>46204</v>
      </c>
      <c r="B103" s="21">
        <f>SUMIFS(tblCashFlows[Contribution Amount],tblCashFlows[Entity],"Beaman Ventures",tblCashFlows[Transaction Date],"&gt;="&amp;A103,tblCashFlows[Transaction Date],"&lt;"&amp;EDATE(A103,1))</f>
        <v/>
      </c>
      <c r="C103" s="21">
        <f>SUMIFS(tblCashFlows[Distribution Amount],tblCashFlows[Entity],"Beaman Ventures",tblCashFlows[Transaction Date],"&gt;="&amp;A103,tblCashFlows[Transaction Date],"&lt;"&amp;EDATE(A103,1))</f>
        <v/>
      </c>
      <c r="D103" s="21">
        <f>C103-B103</f>
        <v/>
      </c>
      <c r="E103" s="21">
        <f>SUMIFS(tblCashFlows[Contribution Amount],tblCashFlows[Entity],"Lee Beaman",tblCashFlows[Transaction Date],"&gt;="&amp;A103,tblCashFlows[Transaction Date],"&lt;"&amp;EDATE(A103,1))</f>
        <v/>
      </c>
      <c r="F103" s="21">
        <f>SUMIFS(tblCashFlows[Distribution Amount],tblCashFlows[Entity],"Lee Beaman",tblCashFlows[Transaction Date],"&gt;="&amp;A103,tblCashFlows[Transaction Date],"&lt;"&amp;EDATE(A103,1))</f>
        <v/>
      </c>
      <c r="G103" s="21">
        <f>F103-E103</f>
        <v/>
      </c>
      <c r="H103" s="21">
        <f>SUMIFS(tblCashFlows[Contribution Amount],tblCashFlows[Entity],"Kat Trust",tblCashFlows[Transaction Date],"&gt;="&amp;A103,tblCashFlows[Transaction Date],"&lt;"&amp;EDATE(A103,1))</f>
        <v/>
      </c>
      <c r="I103" s="21">
        <f>SUMIFS(tblCashFlows[Distribution Amount],tblCashFlows[Entity],"Kat Trust",tblCashFlows[Transaction Date],"&gt;="&amp;A103,tblCashFlows[Transaction Date],"&lt;"&amp;EDATE(A103,1))</f>
        <v/>
      </c>
      <c r="J103" s="21">
        <f>I103-H103</f>
        <v/>
      </c>
      <c r="K103" s="21">
        <f>SUMIFS(tblCashFlows[Contribution Amount],tblCashFlows[Entity],"Nat Trust",tblCashFlows[Transaction Date],"&gt;="&amp;A103,tblCashFlows[Transaction Date],"&lt;"&amp;EDATE(A103,1))</f>
        <v/>
      </c>
      <c r="L103" s="21">
        <f>SUMIFS(tblCashFlows[Distribution Amount],tblCashFlows[Entity],"Nat Trust",tblCashFlows[Transaction Date],"&gt;="&amp;A103,tblCashFlows[Transaction Date],"&lt;"&amp;EDATE(A103,1))</f>
        <v/>
      </c>
      <c r="M103" s="21">
        <f>L103-K103</f>
        <v/>
      </c>
      <c r="N103" s="21">
        <f>SUM(B103,E103,H103,K103)</f>
        <v/>
      </c>
      <c r="O103" s="21">
        <f>SUM(C103,F103,I103,L103)</f>
        <v/>
      </c>
      <c r="P103" s="21">
        <f>O103-N103</f>
        <v/>
      </c>
    </row>
    <row r="104">
      <c r="A104" s="26" t="n">
        <v>46235</v>
      </c>
      <c r="B104" s="21">
        <f>SUMIFS(tblCashFlows[Contribution Amount],tblCashFlows[Entity],"Beaman Ventures",tblCashFlows[Transaction Date],"&gt;="&amp;A104,tblCashFlows[Transaction Date],"&lt;"&amp;EDATE(A104,1))</f>
        <v/>
      </c>
      <c r="C104" s="21">
        <f>SUMIFS(tblCashFlows[Distribution Amount],tblCashFlows[Entity],"Beaman Ventures",tblCashFlows[Transaction Date],"&gt;="&amp;A104,tblCashFlows[Transaction Date],"&lt;"&amp;EDATE(A104,1))</f>
        <v/>
      </c>
      <c r="D104" s="21">
        <f>C104-B104</f>
        <v/>
      </c>
      <c r="E104" s="21">
        <f>SUMIFS(tblCashFlows[Contribution Amount],tblCashFlows[Entity],"Lee Beaman",tblCashFlows[Transaction Date],"&gt;="&amp;A104,tblCashFlows[Transaction Date],"&lt;"&amp;EDATE(A104,1))</f>
        <v/>
      </c>
      <c r="F104" s="21">
        <f>SUMIFS(tblCashFlows[Distribution Amount],tblCashFlows[Entity],"Lee Beaman",tblCashFlows[Transaction Date],"&gt;="&amp;A104,tblCashFlows[Transaction Date],"&lt;"&amp;EDATE(A104,1))</f>
        <v/>
      </c>
      <c r="G104" s="21">
        <f>F104-E104</f>
        <v/>
      </c>
      <c r="H104" s="21">
        <f>SUMIFS(tblCashFlows[Contribution Amount],tblCashFlows[Entity],"Kat Trust",tblCashFlows[Transaction Date],"&gt;="&amp;A104,tblCashFlows[Transaction Date],"&lt;"&amp;EDATE(A104,1))</f>
        <v/>
      </c>
      <c r="I104" s="21">
        <f>SUMIFS(tblCashFlows[Distribution Amount],tblCashFlows[Entity],"Kat Trust",tblCashFlows[Transaction Date],"&gt;="&amp;A104,tblCashFlows[Transaction Date],"&lt;"&amp;EDATE(A104,1))</f>
        <v/>
      </c>
      <c r="J104" s="21">
        <f>I104-H104</f>
        <v/>
      </c>
      <c r="K104" s="21">
        <f>SUMIFS(tblCashFlows[Contribution Amount],tblCashFlows[Entity],"Nat Trust",tblCashFlows[Transaction Date],"&gt;="&amp;A104,tblCashFlows[Transaction Date],"&lt;"&amp;EDATE(A104,1))</f>
        <v/>
      </c>
      <c r="L104" s="21">
        <f>SUMIFS(tblCashFlows[Distribution Amount],tblCashFlows[Entity],"Nat Trust",tblCashFlows[Transaction Date],"&gt;="&amp;A104,tblCashFlows[Transaction Date],"&lt;"&amp;EDATE(A104,1))</f>
        <v/>
      </c>
      <c r="M104" s="21">
        <f>L104-K104</f>
        <v/>
      </c>
      <c r="N104" s="21">
        <f>SUM(B104,E104,H104,K104)</f>
        <v/>
      </c>
      <c r="O104" s="21">
        <f>SUM(C104,F104,I104,L104)</f>
        <v/>
      </c>
      <c r="P104" s="21">
        <f>O104-N104</f>
        <v/>
      </c>
    </row>
    <row r="105">
      <c r="A105" s="26" t="n">
        <v>46266</v>
      </c>
      <c r="B105" s="21">
        <f>SUMIFS(tblCashFlows[Contribution Amount],tblCashFlows[Entity],"Beaman Ventures",tblCashFlows[Transaction Date],"&gt;="&amp;A105,tblCashFlows[Transaction Date],"&lt;"&amp;EDATE(A105,1))</f>
        <v/>
      </c>
      <c r="C105" s="21">
        <f>SUMIFS(tblCashFlows[Distribution Amount],tblCashFlows[Entity],"Beaman Ventures",tblCashFlows[Transaction Date],"&gt;="&amp;A105,tblCashFlows[Transaction Date],"&lt;"&amp;EDATE(A105,1))</f>
        <v/>
      </c>
      <c r="D105" s="21">
        <f>C105-B105</f>
        <v/>
      </c>
      <c r="E105" s="21">
        <f>SUMIFS(tblCashFlows[Contribution Amount],tblCashFlows[Entity],"Lee Beaman",tblCashFlows[Transaction Date],"&gt;="&amp;A105,tblCashFlows[Transaction Date],"&lt;"&amp;EDATE(A105,1))</f>
        <v/>
      </c>
      <c r="F105" s="21">
        <f>SUMIFS(tblCashFlows[Distribution Amount],tblCashFlows[Entity],"Lee Beaman",tblCashFlows[Transaction Date],"&gt;="&amp;A105,tblCashFlows[Transaction Date],"&lt;"&amp;EDATE(A105,1))</f>
        <v/>
      </c>
      <c r="G105" s="21">
        <f>F105-E105</f>
        <v/>
      </c>
      <c r="H105" s="21">
        <f>SUMIFS(tblCashFlows[Contribution Amount],tblCashFlows[Entity],"Kat Trust",tblCashFlows[Transaction Date],"&gt;="&amp;A105,tblCashFlows[Transaction Date],"&lt;"&amp;EDATE(A105,1))</f>
        <v/>
      </c>
      <c r="I105" s="21">
        <f>SUMIFS(tblCashFlows[Distribution Amount],tblCashFlows[Entity],"Kat Trust",tblCashFlows[Transaction Date],"&gt;="&amp;A105,tblCashFlows[Transaction Date],"&lt;"&amp;EDATE(A105,1))</f>
        <v/>
      </c>
      <c r="J105" s="21">
        <f>I105-H105</f>
        <v/>
      </c>
      <c r="K105" s="21">
        <f>SUMIFS(tblCashFlows[Contribution Amount],tblCashFlows[Entity],"Nat Trust",tblCashFlows[Transaction Date],"&gt;="&amp;A105,tblCashFlows[Transaction Date],"&lt;"&amp;EDATE(A105,1))</f>
        <v/>
      </c>
      <c r="L105" s="21">
        <f>SUMIFS(tblCashFlows[Distribution Amount],tblCashFlows[Entity],"Nat Trust",tblCashFlows[Transaction Date],"&gt;="&amp;A105,tblCashFlows[Transaction Date],"&lt;"&amp;EDATE(A105,1))</f>
        <v/>
      </c>
      <c r="M105" s="21">
        <f>L105-K105</f>
        <v/>
      </c>
      <c r="N105" s="21">
        <f>SUM(B105,E105,H105,K105)</f>
        <v/>
      </c>
      <c r="O105" s="21">
        <f>SUM(C105,F105,I105,L105)</f>
        <v/>
      </c>
      <c r="P105" s="21">
        <f>O105-N105</f>
        <v/>
      </c>
    </row>
    <row r="106">
      <c r="A106" s="26" t="n">
        <v>46296</v>
      </c>
      <c r="B106" s="21">
        <f>SUMIFS(tblCashFlows[Contribution Amount],tblCashFlows[Entity],"Beaman Ventures",tblCashFlows[Transaction Date],"&gt;="&amp;A106,tblCashFlows[Transaction Date],"&lt;"&amp;EDATE(A106,1))</f>
        <v/>
      </c>
      <c r="C106" s="21">
        <f>SUMIFS(tblCashFlows[Distribution Amount],tblCashFlows[Entity],"Beaman Ventures",tblCashFlows[Transaction Date],"&gt;="&amp;A106,tblCashFlows[Transaction Date],"&lt;"&amp;EDATE(A106,1))</f>
        <v/>
      </c>
      <c r="D106" s="21">
        <f>C106-B106</f>
        <v/>
      </c>
      <c r="E106" s="21">
        <f>SUMIFS(tblCashFlows[Contribution Amount],tblCashFlows[Entity],"Lee Beaman",tblCashFlows[Transaction Date],"&gt;="&amp;A106,tblCashFlows[Transaction Date],"&lt;"&amp;EDATE(A106,1))</f>
        <v/>
      </c>
      <c r="F106" s="21">
        <f>SUMIFS(tblCashFlows[Distribution Amount],tblCashFlows[Entity],"Lee Beaman",tblCashFlows[Transaction Date],"&gt;="&amp;A106,tblCashFlows[Transaction Date],"&lt;"&amp;EDATE(A106,1))</f>
        <v/>
      </c>
      <c r="G106" s="21">
        <f>F106-E106</f>
        <v/>
      </c>
      <c r="H106" s="21">
        <f>SUMIFS(tblCashFlows[Contribution Amount],tblCashFlows[Entity],"Kat Trust",tblCashFlows[Transaction Date],"&gt;="&amp;A106,tblCashFlows[Transaction Date],"&lt;"&amp;EDATE(A106,1))</f>
        <v/>
      </c>
      <c r="I106" s="21">
        <f>SUMIFS(tblCashFlows[Distribution Amount],tblCashFlows[Entity],"Kat Trust",tblCashFlows[Transaction Date],"&gt;="&amp;A106,tblCashFlows[Transaction Date],"&lt;"&amp;EDATE(A106,1))</f>
        <v/>
      </c>
      <c r="J106" s="21">
        <f>I106-H106</f>
        <v/>
      </c>
      <c r="K106" s="21">
        <f>SUMIFS(tblCashFlows[Contribution Amount],tblCashFlows[Entity],"Nat Trust",tblCashFlows[Transaction Date],"&gt;="&amp;A106,tblCashFlows[Transaction Date],"&lt;"&amp;EDATE(A106,1))</f>
        <v/>
      </c>
      <c r="L106" s="21">
        <f>SUMIFS(tblCashFlows[Distribution Amount],tblCashFlows[Entity],"Nat Trust",tblCashFlows[Transaction Date],"&gt;="&amp;A106,tblCashFlows[Transaction Date],"&lt;"&amp;EDATE(A106,1))</f>
        <v/>
      </c>
      <c r="M106" s="21">
        <f>L106-K106</f>
        <v/>
      </c>
      <c r="N106" s="21">
        <f>SUM(B106,E106,H106,K106)</f>
        <v/>
      </c>
      <c r="O106" s="21">
        <f>SUM(C106,F106,I106,L106)</f>
        <v/>
      </c>
      <c r="P106" s="21">
        <f>O106-N106</f>
        <v/>
      </c>
    </row>
    <row r="107">
      <c r="A107" s="26" t="n">
        <v>46327</v>
      </c>
      <c r="B107" s="21">
        <f>SUMIFS(tblCashFlows[Contribution Amount],tblCashFlows[Entity],"Beaman Ventures",tblCashFlows[Transaction Date],"&gt;="&amp;A107,tblCashFlows[Transaction Date],"&lt;"&amp;EDATE(A107,1))</f>
        <v/>
      </c>
      <c r="C107" s="21">
        <f>SUMIFS(tblCashFlows[Distribution Amount],tblCashFlows[Entity],"Beaman Ventures",tblCashFlows[Transaction Date],"&gt;="&amp;A107,tblCashFlows[Transaction Date],"&lt;"&amp;EDATE(A107,1))</f>
        <v/>
      </c>
      <c r="D107" s="21">
        <f>C107-B107</f>
        <v/>
      </c>
      <c r="E107" s="21">
        <f>SUMIFS(tblCashFlows[Contribution Amount],tblCashFlows[Entity],"Lee Beaman",tblCashFlows[Transaction Date],"&gt;="&amp;A107,tblCashFlows[Transaction Date],"&lt;"&amp;EDATE(A107,1))</f>
        <v/>
      </c>
      <c r="F107" s="21">
        <f>SUMIFS(tblCashFlows[Distribution Amount],tblCashFlows[Entity],"Lee Beaman",tblCashFlows[Transaction Date],"&gt;="&amp;A107,tblCashFlows[Transaction Date],"&lt;"&amp;EDATE(A107,1))</f>
        <v/>
      </c>
      <c r="G107" s="21">
        <f>F107-E107</f>
        <v/>
      </c>
      <c r="H107" s="21">
        <f>SUMIFS(tblCashFlows[Contribution Amount],tblCashFlows[Entity],"Kat Trust",tblCashFlows[Transaction Date],"&gt;="&amp;A107,tblCashFlows[Transaction Date],"&lt;"&amp;EDATE(A107,1))</f>
        <v/>
      </c>
      <c r="I107" s="21">
        <f>SUMIFS(tblCashFlows[Distribution Amount],tblCashFlows[Entity],"Kat Trust",tblCashFlows[Transaction Date],"&gt;="&amp;A107,tblCashFlows[Transaction Date],"&lt;"&amp;EDATE(A107,1))</f>
        <v/>
      </c>
      <c r="J107" s="21">
        <f>I107-H107</f>
        <v/>
      </c>
      <c r="K107" s="21">
        <f>SUMIFS(tblCashFlows[Contribution Amount],tblCashFlows[Entity],"Nat Trust",tblCashFlows[Transaction Date],"&gt;="&amp;A107,tblCashFlows[Transaction Date],"&lt;"&amp;EDATE(A107,1))</f>
        <v/>
      </c>
      <c r="L107" s="21">
        <f>SUMIFS(tblCashFlows[Distribution Amount],tblCashFlows[Entity],"Nat Trust",tblCashFlows[Transaction Date],"&gt;="&amp;A107,tblCashFlows[Transaction Date],"&lt;"&amp;EDATE(A107,1))</f>
        <v/>
      </c>
      <c r="M107" s="21">
        <f>L107-K107</f>
        <v/>
      </c>
      <c r="N107" s="21">
        <f>SUM(B107,E107,H107,K107)</f>
        <v/>
      </c>
      <c r="O107" s="21">
        <f>SUM(C107,F107,I107,L107)</f>
        <v/>
      </c>
      <c r="P107" s="21">
        <f>O107-N107</f>
        <v/>
      </c>
    </row>
    <row r="108">
      <c r="A108" s="26" t="n">
        <v>46357</v>
      </c>
      <c r="B108" s="21">
        <f>SUMIFS(tblCashFlows[Contribution Amount],tblCashFlows[Entity],"Beaman Ventures",tblCashFlows[Transaction Date],"&gt;="&amp;A108,tblCashFlows[Transaction Date],"&lt;"&amp;EDATE(A108,1))</f>
        <v/>
      </c>
      <c r="C108" s="21">
        <f>SUMIFS(tblCashFlows[Distribution Amount],tblCashFlows[Entity],"Beaman Ventures",tblCashFlows[Transaction Date],"&gt;="&amp;A108,tblCashFlows[Transaction Date],"&lt;"&amp;EDATE(A108,1))</f>
        <v/>
      </c>
      <c r="D108" s="21">
        <f>C108-B108</f>
        <v/>
      </c>
      <c r="E108" s="21">
        <f>SUMIFS(tblCashFlows[Contribution Amount],tblCashFlows[Entity],"Lee Beaman",tblCashFlows[Transaction Date],"&gt;="&amp;A108,tblCashFlows[Transaction Date],"&lt;"&amp;EDATE(A108,1))</f>
        <v/>
      </c>
      <c r="F108" s="21">
        <f>SUMIFS(tblCashFlows[Distribution Amount],tblCashFlows[Entity],"Lee Beaman",tblCashFlows[Transaction Date],"&gt;="&amp;A108,tblCashFlows[Transaction Date],"&lt;"&amp;EDATE(A108,1))</f>
        <v/>
      </c>
      <c r="G108" s="21">
        <f>F108-E108</f>
        <v/>
      </c>
      <c r="H108" s="21">
        <f>SUMIFS(tblCashFlows[Contribution Amount],tblCashFlows[Entity],"Kat Trust",tblCashFlows[Transaction Date],"&gt;="&amp;A108,tblCashFlows[Transaction Date],"&lt;"&amp;EDATE(A108,1))</f>
        <v/>
      </c>
      <c r="I108" s="21">
        <f>SUMIFS(tblCashFlows[Distribution Amount],tblCashFlows[Entity],"Kat Trust",tblCashFlows[Transaction Date],"&gt;="&amp;A108,tblCashFlows[Transaction Date],"&lt;"&amp;EDATE(A108,1))</f>
        <v/>
      </c>
      <c r="J108" s="21">
        <f>I108-H108</f>
        <v/>
      </c>
      <c r="K108" s="21">
        <f>SUMIFS(tblCashFlows[Contribution Amount],tblCashFlows[Entity],"Nat Trust",tblCashFlows[Transaction Date],"&gt;="&amp;A108,tblCashFlows[Transaction Date],"&lt;"&amp;EDATE(A108,1))</f>
        <v/>
      </c>
      <c r="L108" s="21">
        <f>SUMIFS(tblCashFlows[Distribution Amount],tblCashFlows[Entity],"Nat Trust",tblCashFlows[Transaction Date],"&gt;="&amp;A108,tblCashFlows[Transaction Date],"&lt;"&amp;EDATE(A108,1))</f>
        <v/>
      </c>
      <c r="M108" s="21">
        <f>L108-K108</f>
        <v/>
      </c>
      <c r="N108" s="21">
        <f>SUM(B108,E108,H108,K108)</f>
        <v/>
      </c>
      <c r="O108" s="21">
        <f>SUM(C108,F108,I108,L108)</f>
        <v/>
      </c>
      <c r="P108" s="21">
        <f>O108-N108</f>
        <v/>
      </c>
    </row>
  </sheetData>
  <autoFilter ref="A3:P108"/>
  <mergeCells count="1">
    <mergeCell ref="A1:P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2" customWidth="1" min="8" max="8"/>
    <col width="16" customWidth="1" min="9" max="9"/>
  </cols>
  <sheetData>
    <row r="1">
      <c r="A1" s="9" t="inlineStr">
        <is>
          <t>Entity Names</t>
        </is>
      </c>
      <c r="B1" s="9" t="inlineStr">
        <is>
          <t>Transaction Types</t>
        </is>
      </c>
      <c r="C1" s="9" t="inlineStr">
        <is>
          <t>Investment Status</t>
        </is>
      </c>
      <c r="D1" s="9" t="inlineStr">
        <is>
          <t>Valuation Methods</t>
        </is>
      </c>
      <c r="E1" s="9" t="inlineStr">
        <is>
          <t>Mark Types</t>
        </is>
      </c>
      <c r="F1" s="9" t="inlineStr">
        <is>
          <t>Sector List</t>
        </is>
      </c>
      <c r="G1" s="9" t="inlineStr">
        <is>
          <t>Asset Type List</t>
        </is>
      </c>
      <c r="H1" s="9" t="inlineStr">
        <is>
          <t>Yes / No</t>
        </is>
      </c>
      <c r="I1" s="9" t="inlineStr">
        <is>
          <t>Lead / Co-invest</t>
        </is>
      </c>
    </row>
    <row r="2">
      <c r="A2" t="inlineStr">
        <is>
          <t>Beaman Ventures</t>
        </is>
      </c>
      <c r="B2" t="inlineStr">
        <is>
          <t>Capital Call</t>
        </is>
      </c>
      <c r="C2" t="inlineStr">
        <is>
          <t>Active</t>
        </is>
      </c>
      <c r="D2" t="inlineStr">
        <is>
          <t>Cost</t>
        </is>
      </c>
      <c r="E2" t="inlineStr">
        <is>
          <t>Cost</t>
        </is>
      </c>
      <c r="F2" t="inlineStr">
        <is>
          <t>Application Software</t>
        </is>
      </c>
      <c r="G2" t="inlineStr">
        <is>
          <t>Venture Equity</t>
        </is>
      </c>
      <c r="H2" t="inlineStr">
        <is>
          <t>Y</t>
        </is>
      </c>
      <c r="I2" t="inlineStr">
        <is>
          <t>Lead</t>
        </is>
      </c>
    </row>
    <row r="3">
      <c r="A3" t="inlineStr">
        <is>
          <t>Lee Beaman</t>
        </is>
      </c>
      <c r="B3" t="inlineStr">
        <is>
          <t>Distribution</t>
        </is>
      </c>
      <c r="C3" t="inlineStr">
        <is>
          <t>Realized</t>
        </is>
      </c>
      <c r="D3" t="inlineStr">
        <is>
          <t>EBITDA multiple</t>
        </is>
      </c>
      <c r="E3" t="inlineStr">
        <is>
          <t>Priced Round</t>
        </is>
      </c>
      <c r="F3" t="inlineStr">
        <is>
          <t>Healthcare Services</t>
        </is>
      </c>
      <c r="G3" t="inlineStr">
        <is>
          <t>Growth Equity</t>
        </is>
      </c>
      <c r="H3" t="inlineStr">
        <is>
          <t>N</t>
        </is>
      </c>
      <c r="I3" t="inlineStr">
        <is>
          <t>Co-invest</t>
        </is>
      </c>
    </row>
    <row r="4">
      <c r="A4" t="inlineStr">
        <is>
          <t>Kat Trust</t>
        </is>
      </c>
      <c r="B4" t="inlineStr">
        <is>
          <t>Dividend</t>
        </is>
      </c>
      <c r="C4" t="inlineStr">
        <is>
          <t>Partially Realized</t>
        </is>
      </c>
      <c r="D4" t="inlineStr">
        <is>
          <t>Revenue multiple</t>
        </is>
      </c>
      <c r="E4" t="inlineStr">
        <is>
          <t>Third-Party Transaction</t>
        </is>
      </c>
      <c r="F4" t="inlineStr">
        <is>
          <t>Industrial Technology</t>
        </is>
      </c>
      <c r="G4" t="inlineStr">
        <is>
          <t>Private Equity</t>
        </is>
      </c>
    </row>
    <row r="5">
      <c r="A5" t="inlineStr">
        <is>
          <t>Nat Trust</t>
        </is>
      </c>
      <c r="B5" t="inlineStr">
        <is>
          <t>Fee</t>
        </is>
      </c>
      <c r="C5" t="inlineStr">
        <is>
          <t>Written Off</t>
        </is>
      </c>
      <c r="D5" t="inlineStr">
        <is>
          <t>EBIT multiple</t>
        </is>
      </c>
      <c r="E5" t="inlineStr">
        <is>
          <t>Exit Process</t>
        </is>
      </c>
      <c r="F5" t="inlineStr">
        <is>
          <t>Private Credit</t>
        </is>
      </c>
      <c r="G5" t="inlineStr">
        <is>
          <t>Private Credit</t>
        </is>
      </c>
    </row>
    <row r="6">
      <c r="B6" t="inlineStr">
        <is>
          <t>Return of Capital</t>
        </is>
      </c>
      <c r="D6" t="inlineStr">
        <is>
          <t>NAV / asset-based</t>
        </is>
      </c>
      <c r="E6" t="inlineStr">
        <is>
          <t>Write-down</t>
        </is>
      </c>
      <c r="F6" t="inlineStr">
        <is>
          <t>Consumer</t>
        </is>
      </c>
      <c r="G6" t="inlineStr">
        <is>
          <t>Fund</t>
        </is>
      </c>
    </row>
    <row r="7">
      <c r="B7" t="inlineStr">
        <is>
          <t>Partial Exit</t>
        </is>
      </c>
      <c r="D7" t="inlineStr">
        <is>
          <t>Mark-to-market</t>
        </is>
      </c>
      <c r="E7" t="inlineStr">
        <is>
          <t>Other</t>
        </is>
      </c>
      <c r="F7" t="inlineStr">
        <is>
          <t>Life Sciences</t>
        </is>
      </c>
    </row>
    <row r="8">
      <c r="B8" t="inlineStr">
        <is>
          <t>Full Exit</t>
        </is>
      </c>
      <c r="D8" t="inlineStr">
        <is>
          <t>Manual override</t>
        </is>
      </c>
      <c r="F8" t="inlineStr">
        <is>
          <t>Energy</t>
        </is>
      </c>
    </row>
    <row r="9">
      <c r="B9" t="inlineStr">
        <is>
          <t>Write-off adjustment</t>
        </is>
      </c>
      <c r="F9" t="inlineStr">
        <is>
          <t>Fintech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2" customWidth="1" min="3" max="3"/>
  </cols>
  <sheetData>
    <row r="1">
      <c r="A1" s="16" t="inlineStr">
        <is>
          <t>Audit Checks</t>
        </is>
      </c>
    </row>
    <row r="3">
      <c r="A3" s="6" t="inlineStr">
        <is>
          <t>Control</t>
        </is>
      </c>
      <c r="B3" s="6" t="inlineStr">
        <is>
          <t>Result</t>
        </is>
      </c>
      <c r="C3" s="6" t="inlineStr">
        <is>
          <t>Status</t>
        </is>
      </c>
    </row>
    <row r="4">
      <c r="A4" s="7" t="inlineStr">
        <is>
          <t>Invested capital ledger ties to investment totals</t>
        </is>
      </c>
      <c r="B4" s="7">
        <f>SUM(tblCashFlows[Contribution Amount])-SUM(tblInvestments[Total invested capital])</f>
        <v/>
      </c>
      <c r="C4" s="7">
        <f>IF(ABS(B4)&lt;0.01,"PASS","FAIL")</f>
        <v/>
      </c>
    </row>
    <row r="5">
      <c r="A5" s="7" t="inlineStr">
        <is>
          <t>Distributions ledger ties to investment totals</t>
        </is>
      </c>
      <c r="B5" s="7">
        <f>SUM(tblCashFlows[Distribution Amount])-SUM(tblInvestments[Total distributions])</f>
        <v/>
      </c>
      <c r="C5" s="7">
        <f>IF(ABS(B5)&lt;0.01,"PASS","FAIL")</f>
        <v/>
      </c>
    </row>
    <row r="6">
      <c r="A6" s="7" t="inlineStr">
        <is>
          <t>Official marks tie to investment totals</t>
        </is>
      </c>
      <c r="B6" s="7">
        <f>SUM(tblOfficialMarks[New Official Value])-SUM(tblInvestments[Official current value])</f>
        <v/>
      </c>
      <c r="C6" s="7">
        <f>IF(ABS(B6)&lt;0.01,"PASS","FAIL")</f>
        <v/>
      </c>
    </row>
    <row r="7">
      <c r="A7" s="7" t="inlineStr">
        <is>
          <t>Internal values tie to dashboard totals</t>
        </is>
      </c>
      <c r="B7" s="7">
        <f>SUM(tblInternalModel[Final Internal Value])-SUM(tblInvestments[Internal current value])</f>
        <v/>
      </c>
      <c r="C7" s="7">
        <f>IF(ABS(B7)&lt;0.01,"PASS","FAIL")</f>
        <v/>
      </c>
    </row>
    <row r="8">
      <c r="A8" s="7" t="inlineStr">
        <is>
          <t>Exit values tie to dashboard totals</t>
        </is>
      </c>
      <c r="B8" s="7">
        <f>SUM(tblExitScenarios[Net Exit Value])-SUM(tblInvestments[Exit scenario value])</f>
        <v/>
      </c>
      <c r="C8" s="7">
        <f>IF(ABS(B8)&lt;0.01,"PASS","FAIL")</f>
        <v/>
      </c>
    </row>
    <row r="9">
      <c r="A9" s="7" t="inlineStr">
        <is>
          <t>Entity totals tie to combined official total</t>
        </is>
      </c>
      <c r="B9" s="7">
        <f>SUM(tblEntityPerf[Official NAV])-SUM(tblInvestments[Official current value])</f>
        <v/>
      </c>
      <c r="C9" s="7">
        <f>IF(ABS(B9)&lt;0.01,"PASS","FAIL")</f>
        <v/>
      </c>
    </row>
    <row r="10">
      <c r="A10" s="7" t="inlineStr">
        <is>
          <t>No missing investment IDs</t>
        </is>
      </c>
      <c r="B10" s="7">
        <f>COUNTIF(tblCashFlows[Investment ID],"")+COUNTIF(tblOfficialMarks[Investment ID],"")+COUNTIF(tblInternalModel[Investment ID],"")+COUNTIF(tblExitScenarios[Investment ID],"")</f>
        <v/>
      </c>
      <c r="C10" s="7">
        <f>IF(B10=0,"PASS","FAIL")</f>
        <v/>
      </c>
    </row>
    <row r="11">
      <c r="A11" s="7" t="inlineStr">
        <is>
          <t>No invalid entity names in ledger</t>
        </is>
      </c>
      <c r="B11" s="7">
        <f>SUMPRODUCT(--ISNA(MATCH(tblCashFlows[Entity],EntityList,0)))</f>
        <v/>
      </c>
      <c r="C11" s="7">
        <f>IF(B11=0,"PASS","FAIL")</f>
        <v/>
      </c>
    </row>
    <row r="12">
      <c r="A12" s="7" t="inlineStr">
        <is>
          <t>No blank transaction dates in ledger</t>
        </is>
      </c>
      <c r="B12" s="7">
        <f>COUNTBLANK(tblCashFlows[Transaction Date])</f>
        <v/>
      </c>
      <c r="C12" s="7">
        <f>IF(B12=0,"PASS","FAIL")</f>
        <v/>
      </c>
    </row>
    <row r="13">
      <c r="A13" s="7" t="inlineStr">
        <is>
          <t>No duplicate transaction IDs</t>
        </is>
      </c>
      <c r="B13" s="7">
        <f>ROWS(tblCashFlows[Transaction ID])-COUNTA(UNIQUE(tblCashFlows[Transaction ID]))</f>
        <v/>
      </c>
      <c r="C13" s="7">
        <f>IF(B13=0,"PASS","FAIL")</f>
        <v/>
      </c>
    </row>
    <row r="14">
      <c r="A14" s="7" t="inlineStr">
        <is>
          <t>No missing valuation methods on master</t>
        </is>
      </c>
      <c r="B14" s="7">
        <f>COUNTBLANK(tblInvestments[Internal Valuation Method])+COUNTBLANK(tblInvestments[Official Valuation Method])+COUNTBLANK(tblInvestments[Exit Valuation Method])</f>
        <v/>
      </c>
      <c r="C14" s="7">
        <f>IF(B14=0,"PASS","FAIL")</f>
        <v/>
      </c>
    </row>
    <row r="15">
      <c r="A15" s="7" t="inlineStr">
        <is>
          <t>Investments with cash flows but no official mark</t>
        </is>
      </c>
      <c r="B15" s="7">
        <f>SUMPRODUCT(--(COUNTIF(tblCashFlows[Investment ID],tblInvestments[Investment ID])&gt;0),--ISNA(MATCH(tblInvestments[Investment ID],tblOfficialMarks[Investment ID],0)))</f>
        <v/>
      </c>
      <c r="C15" s="7">
        <f>IF(B15=0,"PASS","FAIL")</f>
        <v/>
      </c>
    </row>
  </sheetData>
  <autoFilter ref="A3:C15"/>
  <mergeCells count="1">
    <mergeCell ref="A1:C1"/>
  </mergeCells>
  <conditionalFormatting sqref="C4:C15">
    <cfRule type="expression" priority="1" dxfId="2">
      <formula>$C4="PASS"</formula>
    </cfRule>
    <cfRule type="expression" priority="2" dxfId="1">
      <formula>$C4="FAIL"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Private Investment Tracker</dc:title>
  <dc:subject>Family office private investments and portfolio valuation model</dc:subject>
  <dcterms:created xsi:type="dcterms:W3CDTF">2026-03-23T21:02:48Z</dcterms:created>
  <dcterms:modified xsi:type="dcterms:W3CDTF">2026-03-23T21:02:48Z</dcterms:modified>
</cp:coreProperties>
</file>